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0" yWindow="504" windowWidth="23256" windowHeight="13176" activeTab="3"/>
  </bookViews>
  <sheets>
    <sheet name="Financials" sheetId="7" r:id="rId1"/>
    <sheet name="Historical FS" sheetId="8" r:id="rId2"/>
    <sheet name="Ratio Anaysis" sheetId="11" r:id="rId3"/>
    <sheet name="Forecasting" sheetId="12" r:id="rId4"/>
    <sheet name="Data&gt;" sheetId="9" r:id="rId5"/>
    <sheet name="CFS" sheetId="10" r:id="rId6"/>
    <sheet name="Profit &amp; Loss" sheetId="1" r:id="rId7"/>
    <sheet name="Quarters" sheetId="3" r:id="rId8"/>
    <sheet name="Balance Sheet" sheetId="2" r:id="rId9"/>
    <sheet name="Cash Flow" sheetId="4" r:id="rId10"/>
    <sheet name="Customization" sheetId="5" r:id="rId11"/>
    <sheet name="Data Sheet" sheetId="6" r:id="rId12"/>
  </sheets>
  <definedNames>
    <definedName name="UPDATE">'Data Sheet'!$E$1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8" i="12" l="1"/>
  <c r="I19" i="12" s="1"/>
  <c r="J19" i="12" s="1"/>
  <c r="I17" i="12"/>
  <c r="J9" i="12"/>
  <c r="J10" i="12"/>
  <c r="J11" i="12"/>
  <c r="J12" i="12"/>
  <c r="J13" i="12"/>
  <c r="J14" i="12"/>
  <c r="J15" i="12"/>
  <c r="J16" i="12"/>
  <c r="J17" i="12"/>
  <c r="J8" i="12"/>
  <c r="I7" i="12" a="1"/>
  <c r="I7" i="12" s="1"/>
  <c r="G3" i="12"/>
  <c r="B3" i="12"/>
  <c r="B2" i="11"/>
  <c r="D18" i="12"/>
  <c r="E18" i="12" s="1"/>
  <c r="D19" i="12"/>
  <c r="E19" i="12" s="1"/>
  <c r="D17" i="12"/>
  <c r="E17" i="12" s="1"/>
  <c r="E7" i="12"/>
  <c r="E8" i="12"/>
  <c r="E9" i="12"/>
  <c r="E10" i="12"/>
  <c r="E11" i="12"/>
  <c r="E12" i="12"/>
  <c r="E13" i="12"/>
  <c r="E14" i="12"/>
  <c r="E15" i="12"/>
  <c r="E16" i="12"/>
  <c r="E6" i="12"/>
  <c r="J18" i="12" l="1"/>
  <c r="I15" i="12"/>
  <c r="I16" i="12"/>
  <c r="I14" i="12"/>
  <c r="I13" i="12"/>
  <c r="I12" i="12"/>
  <c r="I11" i="12"/>
  <c r="I10" i="12"/>
  <c r="I9" i="12"/>
  <c r="I8" i="12"/>
  <c r="D40" i="11"/>
  <c r="E40" i="11"/>
  <c r="F40" i="11"/>
  <c r="G40" i="11"/>
  <c r="H40" i="11"/>
  <c r="I40" i="11"/>
  <c r="J40" i="11"/>
  <c r="K40" i="11"/>
  <c r="L40" i="11"/>
  <c r="D41" i="11"/>
  <c r="E41" i="11"/>
  <c r="F41" i="11"/>
  <c r="G41" i="11"/>
  <c r="H41" i="11"/>
  <c r="I41" i="11"/>
  <c r="J41" i="11"/>
  <c r="K41" i="11"/>
  <c r="L41" i="11"/>
  <c r="D42" i="11"/>
  <c r="N42" i="11" s="1"/>
  <c r="E42" i="11"/>
  <c r="F42" i="11"/>
  <c r="G42" i="11"/>
  <c r="H42" i="11"/>
  <c r="I42" i="11"/>
  <c r="J42" i="11"/>
  <c r="K42" i="11"/>
  <c r="L42" i="11"/>
  <c r="C42" i="11"/>
  <c r="C41" i="11"/>
  <c r="N41" i="11" s="1"/>
  <c r="C40" i="11"/>
  <c r="O40" i="11" s="1"/>
  <c r="O42" i="11" l="1"/>
  <c r="N40" i="11"/>
  <c r="O41" i="11"/>
  <c r="D29" i="11"/>
  <c r="D35" i="11" s="1"/>
  <c r="E29" i="11"/>
  <c r="E35" i="11" s="1"/>
  <c r="F29" i="11"/>
  <c r="F35" i="11" s="1"/>
  <c r="G29" i="11"/>
  <c r="G35" i="11" s="1"/>
  <c r="H29" i="11"/>
  <c r="H35" i="11" s="1"/>
  <c r="I29" i="11"/>
  <c r="I35" i="11" s="1"/>
  <c r="J29" i="11"/>
  <c r="J35" i="11" s="1"/>
  <c r="K29" i="11"/>
  <c r="K35" i="11" s="1"/>
  <c r="L29" i="11"/>
  <c r="L35" i="11" s="1"/>
  <c r="D30" i="11"/>
  <c r="D36" i="11" s="1"/>
  <c r="E30" i="11"/>
  <c r="E36" i="11" s="1"/>
  <c r="F30" i="11"/>
  <c r="F36" i="11" s="1"/>
  <c r="G30" i="11"/>
  <c r="G36" i="11" s="1"/>
  <c r="H30" i="11"/>
  <c r="H36" i="11" s="1"/>
  <c r="I30" i="11"/>
  <c r="I36" i="11" s="1"/>
  <c r="J30" i="11"/>
  <c r="J36" i="11" s="1"/>
  <c r="K30" i="11"/>
  <c r="K36" i="11" s="1"/>
  <c r="L30" i="11"/>
  <c r="L36" i="11" s="1"/>
  <c r="D31" i="11"/>
  <c r="D37" i="11" s="1"/>
  <c r="E31" i="11"/>
  <c r="E37" i="11" s="1"/>
  <c r="F31" i="11"/>
  <c r="F37" i="11" s="1"/>
  <c r="G31" i="11"/>
  <c r="G37" i="11" s="1"/>
  <c r="H31" i="11"/>
  <c r="H37" i="11" s="1"/>
  <c r="I31" i="11"/>
  <c r="I37" i="11" s="1"/>
  <c r="J31" i="11"/>
  <c r="J37" i="11" s="1"/>
  <c r="K31" i="11"/>
  <c r="K37" i="11" s="1"/>
  <c r="L31" i="11"/>
  <c r="L37" i="11" s="1"/>
  <c r="D32" i="11"/>
  <c r="E32" i="11"/>
  <c r="F32" i="11"/>
  <c r="G32" i="11"/>
  <c r="H32" i="11"/>
  <c r="I32" i="11"/>
  <c r="J32" i="11"/>
  <c r="K32" i="11"/>
  <c r="L32" i="11"/>
  <c r="D33" i="11"/>
  <c r="E33" i="11"/>
  <c r="F33" i="11"/>
  <c r="G33" i="11"/>
  <c r="H33" i="11"/>
  <c r="I33" i="11"/>
  <c r="J33" i="11"/>
  <c r="K33" i="11"/>
  <c r="L33" i="11"/>
  <c r="C33" i="11"/>
  <c r="C32" i="11"/>
  <c r="C31" i="11"/>
  <c r="C30" i="11"/>
  <c r="C29" i="11"/>
  <c r="C50" i="11"/>
  <c r="D50" i="11"/>
  <c r="E50" i="11"/>
  <c r="F50" i="11"/>
  <c r="G50" i="11"/>
  <c r="H50" i="11"/>
  <c r="I50" i="11"/>
  <c r="J50" i="11"/>
  <c r="K50" i="11"/>
  <c r="L50" i="11"/>
  <c r="D51" i="11"/>
  <c r="E51" i="11"/>
  <c r="F51" i="11"/>
  <c r="G51" i="11"/>
  <c r="H51" i="11"/>
  <c r="I51" i="11"/>
  <c r="J51" i="11"/>
  <c r="K51" i="11"/>
  <c r="L51" i="11"/>
  <c r="D52" i="11"/>
  <c r="E52" i="11"/>
  <c r="F52" i="11"/>
  <c r="G52" i="11"/>
  <c r="H52" i="11"/>
  <c r="I52" i="11"/>
  <c r="J52" i="11"/>
  <c r="K52" i="11"/>
  <c r="L52" i="11"/>
  <c r="C51" i="11"/>
  <c r="C52" i="11"/>
  <c r="D53" i="11"/>
  <c r="D54" i="11" s="1"/>
  <c r="E53" i="11"/>
  <c r="E54" i="11" s="1"/>
  <c r="F53" i="11"/>
  <c r="F54" i="11" s="1"/>
  <c r="G53" i="11"/>
  <c r="G54" i="11" s="1"/>
  <c r="H53" i="11"/>
  <c r="H54" i="11" s="1"/>
  <c r="I53" i="11"/>
  <c r="I54" i="11" s="1"/>
  <c r="J53" i="11"/>
  <c r="J54" i="11" s="1"/>
  <c r="K53" i="11"/>
  <c r="K54" i="11" s="1"/>
  <c r="L53" i="11"/>
  <c r="L54" i="11" s="1"/>
  <c r="C53" i="11"/>
  <c r="C45" i="11"/>
  <c r="D45" i="11"/>
  <c r="E45" i="11"/>
  <c r="F45" i="11"/>
  <c r="G45" i="11"/>
  <c r="H45" i="11"/>
  <c r="I45" i="11"/>
  <c r="J45" i="11"/>
  <c r="K45" i="11"/>
  <c r="L45" i="11"/>
  <c r="D46" i="11"/>
  <c r="E46" i="11"/>
  <c r="F46" i="11"/>
  <c r="G46" i="11"/>
  <c r="H46" i="11"/>
  <c r="I46" i="11"/>
  <c r="J46" i="11"/>
  <c r="K46" i="11"/>
  <c r="L46" i="11"/>
  <c r="D47" i="11"/>
  <c r="E47" i="11"/>
  <c r="F47" i="11"/>
  <c r="G47" i="11"/>
  <c r="H47" i="11"/>
  <c r="I47" i="11"/>
  <c r="J47" i="11"/>
  <c r="K47" i="11"/>
  <c r="L47" i="11"/>
  <c r="C47" i="11"/>
  <c r="C46" i="11"/>
  <c r="O50" i="11" l="1"/>
  <c r="N50" i="11"/>
  <c r="O51" i="11"/>
  <c r="N51" i="11"/>
  <c r="C54" i="11"/>
  <c r="N53" i="11"/>
  <c r="O53" i="11"/>
  <c r="C35" i="11"/>
  <c r="N29" i="11"/>
  <c r="O29" i="11"/>
  <c r="C36" i="11"/>
  <c r="O30" i="11"/>
  <c r="N30" i="11"/>
  <c r="O46" i="11"/>
  <c r="N46" i="11"/>
  <c r="C37" i="11"/>
  <c r="O31" i="11"/>
  <c r="N31" i="11"/>
  <c r="N33" i="11"/>
  <c r="O33" i="11"/>
  <c r="N52" i="11"/>
  <c r="O52" i="11"/>
  <c r="O45" i="11"/>
  <c r="N45" i="11"/>
  <c r="O47" i="11"/>
  <c r="N47" i="11"/>
  <c r="O32" i="11"/>
  <c r="N32" i="11"/>
  <c r="I38" i="11"/>
  <c r="H38" i="11"/>
  <c r="E38" i="11"/>
  <c r="J38" i="11"/>
  <c r="K38" i="11"/>
  <c r="G38" i="11"/>
  <c r="L38" i="11"/>
  <c r="F38" i="11"/>
  <c r="D38" i="11"/>
  <c r="D7" i="11"/>
  <c r="C5" i="11"/>
  <c r="D27" i="11"/>
  <c r="E27" i="11"/>
  <c r="F27" i="11"/>
  <c r="G27" i="11"/>
  <c r="H27" i="11"/>
  <c r="I27" i="11"/>
  <c r="J27" i="11"/>
  <c r="K27" i="11"/>
  <c r="L27" i="11"/>
  <c r="C27" i="11"/>
  <c r="D25" i="11"/>
  <c r="E25" i="11"/>
  <c r="F25" i="11"/>
  <c r="G25" i="11"/>
  <c r="H25" i="11"/>
  <c r="I25" i="11"/>
  <c r="J25" i="11"/>
  <c r="K25" i="11"/>
  <c r="L25" i="11"/>
  <c r="C25" i="11"/>
  <c r="D24" i="11"/>
  <c r="E24" i="11"/>
  <c r="F24" i="11"/>
  <c r="G24" i="11"/>
  <c r="H24" i="11"/>
  <c r="I24" i="11"/>
  <c r="J24" i="11"/>
  <c r="K24" i="11"/>
  <c r="L24" i="11"/>
  <c r="C23" i="11"/>
  <c r="D23" i="11"/>
  <c r="E23" i="11"/>
  <c r="F23" i="11"/>
  <c r="G23" i="11"/>
  <c r="H23" i="11"/>
  <c r="I23" i="11"/>
  <c r="J23" i="11"/>
  <c r="K23" i="11"/>
  <c r="L23" i="11"/>
  <c r="C24" i="11"/>
  <c r="O25" i="11" l="1"/>
  <c r="N25" i="11"/>
  <c r="O36" i="11"/>
  <c r="N36" i="11"/>
  <c r="O24" i="11"/>
  <c r="N24" i="11"/>
  <c r="N35" i="11"/>
  <c r="O35" i="11"/>
  <c r="C38" i="11"/>
  <c r="N27" i="11"/>
  <c r="O27" i="11"/>
  <c r="O23" i="11"/>
  <c r="N23" i="11"/>
  <c r="O37" i="11"/>
  <c r="N37" i="11"/>
  <c r="G26" i="11"/>
  <c r="F26" i="11"/>
  <c r="I26" i="11"/>
  <c r="E26" i="11"/>
  <c r="H26" i="11"/>
  <c r="D26" i="11"/>
  <c r="L26" i="11"/>
  <c r="C26" i="11"/>
  <c r="K26" i="11"/>
  <c r="J26" i="11"/>
  <c r="C19" i="11"/>
  <c r="D20" i="11"/>
  <c r="E20" i="11"/>
  <c r="F20" i="11"/>
  <c r="G20" i="11"/>
  <c r="H20" i="11"/>
  <c r="I20" i="11"/>
  <c r="J20" i="11"/>
  <c r="K20" i="11"/>
  <c r="L20" i="11"/>
  <c r="D19" i="11"/>
  <c r="E19" i="11"/>
  <c r="F19" i="11"/>
  <c r="G19" i="11"/>
  <c r="H19" i="11"/>
  <c r="I19" i="11"/>
  <c r="J19" i="11"/>
  <c r="K19" i="11"/>
  <c r="L19" i="11"/>
  <c r="C20" i="11"/>
  <c r="C12" i="11"/>
  <c r="D14" i="11"/>
  <c r="E14" i="11"/>
  <c r="F14" i="11"/>
  <c r="G14" i="11"/>
  <c r="H14" i="11"/>
  <c r="I14" i="11"/>
  <c r="J14" i="11"/>
  <c r="K14" i="11"/>
  <c r="L14" i="11"/>
  <c r="C14" i="11"/>
  <c r="D16" i="11"/>
  <c r="E16" i="11"/>
  <c r="F16" i="11"/>
  <c r="G16" i="11"/>
  <c r="H16" i="11"/>
  <c r="I16" i="11"/>
  <c r="J16" i="11"/>
  <c r="K16" i="11"/>
  <c r="L16" i="11"/>
  <c r="C16" i="11"/>
  <c r="D15" i="11"/>
  <c r="E15" i="11"/>
  <c r="F15" i="11"/>
  <c r="G15" i="11"/>
  <c r="H15" i="11"/>
  <c r="I15" i="11"/>
  <c r="J15" i="11"/>
  <c r="K15" i="11"/>
  <c r="L15" i="11"/>
  <c r="C15" i="11"/>
  <c r="D13" i="11"/>
  <c r="D21" i="11" s="1"/>
  <c r="E13" i="11"/>
  <c r="E21" i="11" s="1"/>
  <c r="F13" i="11"/>
  <c r="F21" i="11" s="1"/>
  <c r="G13" i="11"/>
  <c r="G21" i="11" s="1"/>
  <c r="H13" i="11"/>
  <c r="H21" i="11" s="1"/>
  <c r="I13" i="11"/>
  <c r="I21" i="11" s="1"/>
  <c r="J13" i="11"/>
  <c r="J21" i="11" s="1"/>
  <c r="K13" i="11"/>
  <c r="K21" i="11" s="1"/>
  <c r="L13" i="11"/>
  <c r="L21" i="11" s="1"/>
  <c r="C13" i="11"/>
  <c r="D12" i="11"/>
  <c r="E12" i="11"/>
  <c r="F12" i="11"/>
  <c r="G12" i="11"/>
  <c r="H12" i="11"/>
  <c r="I12" i="11"/>
  <c r="J12" i="11"/>
  <c r="K12" i="11"/>
  <c r="L12" i="11"/>
  <c r="E9" i="11"/>
  <c r="F9" i="11"/>
  <c r="G9" i="11"/>
  <c r="H9" i="11"/>
  <c r="I9" i="11"/>
  <c r="J9" i="11"/>
  <c r="K9" i="11"/>
  <c r="L9" i="11"/>
  <c r="E8" i="11"/>
  <c r="F8" i="11"/>
  <c r="G8" i="11"/>
  <c r="H8" i="11"/>
  <c r="I8" i="11"/>
  <c r="J8" i="11"/>
  <c r="K8" i="11"/>
  <c r="L8" i="11"/>
  <c r="D9" i="11"/>
  <c r="D8" i="11"/>
  <c r="E7" i="11"/>
  <c r="F7" i="11"/>
  <c r="O7" i="11" s="1"/>
  <c r="G7" i="11"/>
  <c r="N7" i="11" s="1"/>
  <c r="H7" i="11"/>
  <c r="I7" i="11"/>
  <c r="J7" i="11"/>
  <c r="K7" i="11"/>
  <c r="L7" i="11"/>
  <c r="E6" i="11"/>
  <c r="F6" i="11"/>
  <c r="G6" i="11"/>
  <c r="H6" i="11"/>
  <c r="I6" i="11"/>
  <c r="J6" i="11"/>
  <c r="K6" i="11"/>
  <c r="L6" i="11"/>
  <c r="D6" i="11"/>
  <c r="D5" i="11"/>
  <c r="E5" i="11"/>
  <c r="F5" i="11"/>
  <c r="G5" i="11"/>
  <c r="H5" i="11"/>
  <c r="I5" i="11"/>
  <c r="J5" i="11"/>
  <c r="K5" i="11"/>
  <c r="L5" i="11"/>
  <c r="C3" i="11"/>
  <c r="D3" i="11"/>
  <c r="E3" i="11"/>
  <c r="F3" i="11"/>
  <c r="G3" i="11"/>
  <c r="H3" i="11"/>
  <c r="I3" i="11"/>
  <c r="J3" i="11"/>
  <c r="K3" i="11"/>
  <c r="L3" i="11"/>
  <c r="N5" i="11" l="1"/>
  <c r="N14" i="11"/>
  <c r="O14" i="11"/>
  <c r="N8" i="11"/>
  <c r="O8" i="11"/>
  <c r="N9" i="11"/>
  <c r="O9" i="11"/>
  <c r="N15" i="11"/>
  <c r="O15" i="11"/>
  <c r="N26" i="11"/>
  <c r="O26" i="11"/>
  <c r="O6" i="11"/>
  <c r="N6" i="11"/>
  <c r="O12" i="11"/>
  <c r="N12" i="11"/>
  <c r="N20" i="11"/>
  <c r="O20" i="11"/>
  <c r="N16" i="11"/>
  <c r="O16" i="11"/>
  <c r="O38" i="11"/>
  <c r="N38" i="11"/>
  <c r="C21" i="11"/>
  <c r="O13" i="11"/>
  <c r="N13" i="11"/>
  <c r="O19" i="11"/>
  <c r="N19" i="11"/>
  <c r="O5" i="11"/>
  <c r="D105" i="8"/>
  <c r="E105" i="8"/>
  <c r="F105" i="8"/>
  <c r="G105" i="8"/>
  <c r="H105" i="8"/>
  <c r="I105" i="8"/>
  <c r="J105" i="8"/>
  <c r="K105" i="8"/>
  <c r="L105" i="8"/>
  <c r="C105" i="8"/>
  <c r="D103" i="8"/>
  <c r="E103" i="8"/>
  <c r="F103" i="8"/>
  <c r="G103" i="8"/>
  <c r="H103" i="8"/>
  <c r="I103" i="8"/>
  <c r="J103" i="8"/>
  <c r="K103" i="8"/>
  <c r="L103" i="8"/>
  <c r="C103" i="8"/>
  <c r="C96" i="8"/>
  <c r="D96" i="8"/>
  <c r="E96" i="8"/>
  <c r="F96" i="8"/>
  <c r="G96" i="8"/>
  <c r="H96" i="8"/>
  <c r="I96" i="8"/>
  <c r="J96" i="8"/>
  <c r="K96" i="8"/>
  <c r="L96" i="8"/>
  <c r="C97" i="8"/>
  <c r="D97" i="8"/>
  <c r="E97" i="8"/>
  <c r="F97" i="8"/>
  <c r="G97" i="8"/>
  <c r="H97" i="8"/>
  <c r="I97" i="8"/>
  <c r="J97" i="8"/>
  <c r="K97" i="8"/>
  <c r="L97" i="8"/>
  <c r="C98" i="8"/>
  <c r="D98" i="8"/>
  <c r="E98" i="8"/>
  <c r="F98" i="8"/>
  <c r="G98" i="8"/>
  <c r="H98" i="8"/>
  <c r="I98" i="8"/>
  <c r="J98" i="8"/>
  <c r="K98" i="8"/>
  <c r="L98" i="8"/>
  <c r="C99" i="8"/>
  <c r="D99" i="8"/>
  <c r="E99" i="8"/>
  <c r="F99" i="8"/>
  <c r="G99" i="8"/>
  <c r="H99" i="8"/>
  <c r="I99" i="8"/>
  <c r="J99" i="8"/>
  <c r="K99" i="8"/>
  <c r="L99" i="8"/>
  <c r="C100" i="8"/>
  <c r="D100" i="8"/>
  <c r="E100" i="8"/>
  <c r="F100" i="8"/>
  <c r="G100" i="8"/>
  <c r="H100" i="8"/>
  <c r="I100" i="8"/>
  <c r="J100" i="8"/>
  <c r="K100" i="8"/>
  <c r="L100" i="8"/>
  <c r="C101" i="8"/>
  <c r="D101" i="8"/>
  <c r="E101" i="8"/>
  <c r="F101" i="8"/>
  <c r="G101" i="8"/>
  <c r="H101" i="8"/>
  <c r="I101" i="8"/>
  <c r="J101" i="8"/>
  <c r="K101" i="8"/>
  <c r="L101" i="8"/>
  <c r="C102" i="8"/>
  <c r="D102" i="8"/>
  <c r="E102" i="8"/>
  <c r="F102" i="8"/>
  <c r="G102" i="8"/>
  <c r="H102" i="8"/>
  <c r="I102" i="8"/>
  <c r="J102" i="8"/>
  <c r="K102" i="8"/>
  <c r="L102" i="8"/>
  <c r="D95" i="8"/>
  <c r="E95" i="8"/>
  <c r="F95" i="8"/>
  <c r="G95" i="8"/>
  <c r="H95" i="8"/>
  <c r="I95" i="8"/>
  <c r="J95" i="8"/>
  <c r="K95" i="8"/>
  <c r="L95" i="8"/>
  <c r="C95" i="8"/>
  <c r="D92" i="8"/>
  <c r="E92" i="8"/>
  <c r="F92" i="8"/>
  <c r="G92" i="8"/>
  <c r="H92" i="8"/>
  <c r="I92" i="8"/>
  <c r="J92" i="8"/>
  <c r="K92" i="8"/>
  <c r="L92" i="8"/>
  <c r="C92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D83" i="8"/>
  <c r="E83" i="8"/>
  <c r="F83" i="8"/>
  <c r="G83" i="8"/>
  <c r="H83" i="8"/>
  <c r="I83" i="8"/>
  <c r="J83" i="8"/>
  <c r="K83" i="8"/>
  <c r="L83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C82" i="8"/>
  <c r="C83" i="8"/>
  <c r="C84" i="8"/>
  <c r="C85" i="8"/>
  <c r="C86" i="8"/>
  <c r="C87" i="8"/>
  <c r="C88" i="8"/>
  <c r="C89" i="8"/>
  <c r="C90" i="8"/>
  <c r="C91" i="8"/>
  <c r="C81" i="8"/>
  <c r="D78" i="8"/>
  <c r="E78" i="8"/>
  <c r="F78" i="8"/>
  <c r="G78" i="8"/>
  <c r="H78" i="8"/>
  <c r="I78" i="8"/>
  <c r="J78" i="8"/>
  <c r="K78" i="8"/>
  <c r="L78" i="8"/>
  <c r="C78" i="8"/>
  <c r="D70" i="8"/>
  <c r="E70" i="8"/>
  <c r="F70" i="8"/>
  <c r="G70" i="8"/>
  <c r="H70" i="8"/>
  <c r="I70" i="8"/>
  <c r="J70" i="8"/>
  <c r="K70" i="8"/>
  <c r="L70" i="8"/>
  <c r="D71" i="8"/>
  <c r="E71" i="8"/>
  <c r="F71" i="8"/>
  <c r="G71" i="8"/>
  <c r="H71" i="8"/>
  <c r="I71" i="8"/>
  <c r="J71" i="8"/>
  <c r="K71" i="8"/>
  <c r="L71" i="8"/>
  <c r="D72" i="8"/>
  <c r="E72" i="8"/>
  <c r="F72" i="8"/>
  <c r="G72" i="8"/>
  <c r="H72" i="8"/>
  <c r="I72" i="8"/>
  <c r="J72" i="8"/>
  <c r="K72" i="8"/>
  <c r="L72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C71" i="8"/>
  <c r="C72" i="8"/>
  <c r="C73" i="8"/>
  <c r="C74" i="8"/>
  <c r="C75" i="8"/>
  <c r="C76" i="8"/>
  <c r="C77" i="8"/>
  <c r="C70" i="8"/>
  <c r="M64" i="8"/>
  <c r="M62" i="8"/>
  <c r="M57" i="8"/>
  <c r="L66" i="8"/>
  <c r="D66" i="8"/>
  <c r="E66" i="8"/>
  <c r="F66" i="8"/>
  <c r="G66" i="8"/>
  <c r="H66" i="8"/>
  <c r="I66" i="8"/>
  <c r="J66" i="8"/>
  <c r="K66" i="8"/>
  <c r="C66" i="8"/>
  <c r="D57" i="8"/>
  <c r="D64" i="8" s="1"/>
  <c r="E57" i="8"/>
  <c r="E64" i="8" s="1"/>
  <c r="F57" i="8"/>
  <c r="F64" i="8" s="1"/>
  <c r="G57" i="8"/>
  <c r="G64" i="8" s="1"/>
  <c r="H57" i="8"/>
  <c r="I57" i="8"/>
  <c r="J57" i="8"/>
  <c r="J64" i="8" s="1"/>
  <c r="K57" i="8"/>
  <c r="K64" i="8" s="1"/>
  <c r="L57" i="8"/>
  <c r="L64" i="8" s="1"/>
  <c r="C57" i="8"/>
  <c r="H64" i="8"/>
  <c r="I64" i="8"/>
  <c r="D62" i="8"/>
  <c r="E62" i="8"/>
  <c r="F62" i="8"/>
  <c r="G62" i="8"/>
  <c r="H62" i="8"/>
  <c r="I62" i="8"/>
  <c r="J62" i="8"/>
  <c r="K62" i="8"/>
  <c r="L62" i="8"/>
  <c r="C62" i="8"/>
  <c r="D56" i="8"/>
  <c r="E56" i="8"/>
  <c r="F56" i="8"/>
  <c r="G56" i="8"/>
  <c r="H56" i="8"/>
  <c r="I56" i="8"/>
  <c r="J56" i="8"/>
  <c r="K56" i="8"/>
  <c r="L56" i="8"/>
  <c r="C56" i="8"/>
  <c r="C47" i="8"/>
  <c r="D59" i="8"/>
  <c r="E59" i="8"/>
  <c r="F59" i="8"/>
  <c r="G59" i="8"/>
  <c r="H59" i="8"/>
  <c r="I59" i="8"/>
  <c r="J59" i="8"/>
  <c r="K59" i="8"/>
  <c r="L59" i="8"/>
  <c r="M59" i="8"/>
  <c r="D60" i="8"/>
  <c r="E60" i="8"/>
  <c r="F60" i="8"/>
  <c r="G60" i="8"/>
  <c r="H60" i="8"/>
  <c r="I60" i="8"/>
  <c r="J60" i="8"/>
  <c r="K60" i="8"/>
  <c r="L60" i="8"/>
  <c r="M60" i="8"/>
  <c r="D61" i="8"/>
  <c r="E61" i="8"/>
  <c r="F61" i="8"/>
  <c r="G61" i="8"/>
  <c r="H61" i="8"/>
  <c r="I61" i="8"/>
  <c r="J61" i="8"/>
  <c r="K61" i="8"/>
  <c r="L61" i="8"/>
  <c r="M61" i="8"/>
  <c r="C60" i="8"/>
  <c r="C61" i="8"/>
  <c r="C59" i="8"/>
  <c r="D53" i="8"/>
  <c r="E53" i="8"/>
  <c r="F53" i="8"/>
  <c r="G53" i="8"/>
  <c r="H53" i="8"/>
  <c r="I53" i="8"/>
  <c r="J53" i="8"/>
  <c r="K53" i="8"/>
  <c r="L53" i="8"/>
  <c r="M53" i="8"/>
  <c r="D54" i="8"/>
  <c r="E54" i="8"/>
  <c r="F54" i="8"/>
  <c r="G54" i="8"/>
  <c r="H54" i="8"/>
  <c r="I54" i="8"/>
  <c r="J54" i="8"/>
  <c r="K54" i="8"/>
  <c r="L54" i="8"/>
  <c r="M54" i="8"/>
  <c r="D55" i="8"/>
  <c r="E55" i="8"/>
  <c r="F55" i="8"/>
  <c r="G55" i="8"/>
  <c r="H55" i="8"/>
  <c r="I55" i="8"/>
  <c r="J55" i="8"/>
  <c r="K55" i="8"/>
  <c r="L55" i="8"/>
  <c r="M55" i="8"/>
  <c r="M56" i="8"/>
  <c r="C54" i="8"/>
  <c r="C55" i="8"/>
  <c r="C53" i="8"/>
  <c r="D50" i="8"/>
  <c r="E50" i="8"/>
  <c r="F50" i="8"/>
  <c r="G50" i="8"/>
  <c r="H50" i="8"/>
  <c r="I50" i="8"/>
  <c r="J50" i="8"/>
  <c r="K50" i="8"/>
  <c r="L50" i="8"/>
  <c r="M50" i="8"/>
  <c r="D51" i="8"/>
  <c r="E51" i="8"/>
  <c r="F51" i="8"/>
  <c r="G51" i="8"/>
  <c r="H51" i="8"/>
  <c r="I51" i="8"/>
  <c r="J51" i="8"/>
  <c r="K51" i="8"/>
  <c r="L51" i="8"/>
  <c r="M51" i="8"/>
  <c r="C51" i="8"/>
  <c r="D47" i="8"/>
  <c r="E47" i="8"/>
  <c r="F47" i="8"/>
  <c r="G47" i="8"/>
  <c r="H47" i="8"/>
  <c r="I47" i="8"/>
  <c r="J47" i="8"/>
  <c r="K47" i="8"/>
  <c r="L47" i="8"/>
  <c r="M47" i="8"/>
  <c r="D48" i="8"/>
  <c r="E48" i="8"/>
  <c r="F48" i="8"/>
  <c r="G48" i="8"/>
  <c r="H48" i="8"/>
  <c r="I48" i="8"/>
  <c r="J48" i="8"/>
  <c r="K48" i="8"/>
  <c r="L48" i="8"/>
  <c r="M48" i="8"/>
  <c r="D49" i="8"/>
  <c r="E49" i="8"/>
  <c r="F49" i="8"/>
  <c r="G49" i="8"/>
  <c r="H49" i="8"/>
  <c r="I49" i="8"/>
  <c r="J49" i="8"/>
  <c r="K49" i="8"/>
  <c r="L49" i="8"/>
  <c r="M49" i="8"/>
  <c r="C48" i="8"/>
  <c r="C49" i="8"/>
  <c r="C50" i="8"/>
  <c r="O21" i="11" l="1"/>
  <c r="N21" i="11"/>
  <c r="C64" i="8"/>
  <c r="D44" i="8"/>
  <c r="E44" i="8"/>
  <c r="F44" i="8"/>
  <c r="G44" i="8"/>
  <c r="H44" i="8"/>
  <c r="I44" i="8"/>
  <c r="J44" i="8"/>
  <c r="K44" i="8"/>
  <c r="L44" i="8"/>
  <c r="M44" i="8"/>
  <c r="C44" i="8"/>
  <c r="D42" i="8"/>
  <c r="E42" i="8"/>
  <c r="F42" i="8"/>
  <c r="G42" i="8"/>
  <c r="H42" i="8"/>
  <c r="I42" i="8"/>
  <c r="J42" i="8"/>
  <c r="K42" i="8"/>
  <c r="L42" i="8"/>
  <c r="M42" i="8"/>
  <c r="C42" i="8"/>
  <c r="D41" i="8"/>
  <c r="E41" i="8"/>
  <c r="F41" i="8"/>
  <c r="G41" i="8"/>
  <c r="H41" i="8"/>
  <c r="I41" i="8"/>
  <c r="J41" i="8"/>
  <c r="K41" i="8"/>
  <c r="L41" i="8"/>
  <c r="M41" i="8"/>
  <c r="C41" i="8"/>
  <c r="D36" i="8"/>
  <c r="E36" i="8"/>
  <c r="F36" i="8"/>
  <c r="G36" i="8"/>
  <c r="H36" i="8"/>
  <c r="I36" i="8"/>
  <c r="J36" i="8"/>
  <c r="K36" i="8"/>
  <c r="L36" i="8"/>
  <c r="M36" i="8"/>
  <c r="C36" i="8"/>
  <c r="M30" i="8"/>
  <c r="D30" i="8"/>
  <c r="E30" i="8"/>
  <c r="F30" i="8"/>
  <c r="G30" i="8"/>
  <c r="H30" i="8"/>
  <c r="I30" i="8"/>
  <c r="J30" i="8"/>
  <c r="K30" i="8"/>
  <c r="L30" i="8"/>
  <c r="C30" i="8"/>
  <c r="M24" i="8"/>
  <c r="D24" i="8"/>
  <c r="E24" i="8"/>
  <c r="F24" i="8"/>
  <c r="G24" i="8"/>
  <c r="H24" i="8"/>
  <c r="I24" i="8"/>
  <c r="J24" i="8"/>
  <c r="K24" i="8"/>
  <c r="L24" i="8"/>
  <c r="C24" i="8"/>
  <c r="M21" i="8"/>
  <c r="D21" i="8"/>
  <c r="E21" i="8"/>
  <c r="F21" i="8"/>
  <c r="G21" i="8"/>
  <c r="H21" i="8"/>
  <c r="I21" i="8"/>
  <c r="J21" i="8"/>
  <c r="K21" i="8"/>
  <c r="L21" i="8"/>
  <c r="C21" i="8"/>
  <c r="D15" i="8" l="1"/>
  <c r="E15" i="8"/>
  <c r="F15" i="8"/>
  <c r="G15" i="8"/>
  <c r="H15" i="8"/>
  <c r="I15" i="8"/>
  <c r="J15" i="8"/>
  <c r="K15" i="8"/>
  <c r="L15" i="8"/>
  <c r="C15" i="8"/>
  <c r="M9" i="8"/>
  <c r="C6" i="8"/>
  <c r="D9" i="8"/>
  <c r="E9" i="8"/>
  <c r="F9" i="8"/>
  <c r="G9" i="8"/>
  <c r="G10" i="8" s="1"/>
  <c r="H9" i="8"/>
  <c r="I9" i="8"/>
  <c r="I10" i="8" s="1"/>
  <c r="J9" i="8"/>
  <c r="J10" i="8" s="1"/>
  <c r="K9" i="8"/>
  <c r="L9" i="8"/>
  <c r="C9" i="8"/>
  <c r="M6" i="8"/>
  <c r="D6" i="8"/>
  <c r="E6" i="8"/>
  <c r="F6" i="8"/>
  <c r="G6" i="8"/>
  <c r="G7" i="8" s="1"/>
  <c r="H6" i="8"/>
  <c r="H25" i="8" s="1"/>
  <c r="I6" i="8"/>
  <c r="J6" i="8"/>
  <c r="J25" i="8" s="1"/>
  <c r="K6" i="8"/>
  <c r="K7" i="8" s="1"/>
  <c r="L6" i="8"/>
  <c r="L25" i="8" s="1"/>
  <c r="D3" i="8"/>
  <c r="E3" i="8"/>
  <c r="F3" i="8"/>
  <c r="G3" i="8"/>
  <c r="H3" i="8"/>
  <c r="I3" i="8"/>
  <c r="J3" i="8"/>
  <c r="K3" i="8"/>
  <c r="L3" i="8"/>
  <c r="C3" i="8"/>
  <c r="B2" i="8"/>
  <c r="I7" i="8" l="1"/>
  <c r="H10" i="8"/>
  <c r="H16" i="8"/>
  <c r="L16" i="8"/>
  <c r="D10" i="8"/>
  <c r="I12" i="8"/>
  <c r="M7" i="8"/>
  <c r="H12" i="8"/>
  <c r="C10" i="8"/>
  <c r="L22" i="8"/>
  <c r="J22" i="8"/>
  <c r="E10" i="8"/>
  <c r="K16" i="8"/>
  <c r="H22" i="8"/>
  <c r="F10" i="8"/>
  <c r="J16" i="8"/>
  <c r="K22" i="8"/>
  <c r="I16" i="8"/>
  <c r="K25" i="8"/>
  <c r="L7" i="8"/>
  <c r="K12" i="8"/>
  <c r="F22" i="8"/>
  <c r="K10" i="8"/>
  <c r="M12" i="8"/>
  <c r="D22" i="8"/>
  <c r="J7" i="8"/>
  <c r="L12" i="8"/>
  <c r="D25" i="8"/>
  <c r="G16" i="8"/>
  <c r="G12" i="8"/>
  <c r="F16" i="8"/>
  <c r="F12" i="8"/>
  <c r="E16" i="8"/>
  <c r="E12" i="8"/>
  <c r="D16" i="8"/>
  <c r="D7" i="8"/>
  <c r="D12" i="8"/>
  <c r="M16" i="8"/>
  <c r="F25" i="8"/>
  <c r="C12" i="8"/>
  <c r="C22" i="8"/>
  <c r="C25" i="8"/>
  <c r="G22" i="8"/>
  <c r="M22" i="8"/>
  <c r="L10" i="8"/>
  <c r="C16" i="8"/>
  <c r="G25" i="8"/>
  <c r="M25" i="8"/>
  <c r="I22" i="8"/>
  <c r="E22" i="8"/>
  <c r="H7" i="8"/>
  <c r="J12" i="8"/>
  <c r="I25" i="8"/>
  <c r="E25" i="8"/>
  <c r="F7" i="8"/>
  <c r="E7" i="8"/>
  <c r="C6" i="3"/>
  <c r="D6" i="3"/>
  <c r="E6" i="3"/>
  <c r="F6" i="3"/>
  <c r="F14" i="3" s="1"/>
  <c r="G6" i="3"/>
  <c r="H6" i="3"/>
  <c r="H14" i="3" s="1"/>
  <c r="I6" i="3"/>
  <c r="J6" i="3"/>
  <c r="K6" i="3"/>
  <c r="B6" i="3"/>
  <c r="C5" i="1"/>
  <c r="D5" i="1"/>
  <c r="D6" i="1" s="1"/>
  <c r="D19" i="1" s="1"/>
  <c r="E5" i="1"/>
  <c r="F5" i="1"/>
  <c r="G5" i="1"/>
  <c r="H5" i="1"/>
  <c r="I5" i="1"/>
  <c r="J5" i="1"/>
  <c r="K5" i="1"/>
  <c r="B5" i="1"/>
  <c r="D13" i="1" s="1"/>
  <c r="E13" i="1" s="1"/>
  <c r="K13" i="1"/>
  <c r="B13" i="1"/>
  <c r="B6" i="6"/>
  <c r="C17" i="2"/>
  <c r="D17" i="2"/>
  <c r="D20" i="2" s="1"/>
  <c r="E17" i="2"/>
  <c r="F17" i="2"/>
  <c r="G17" i="2"/>
  <c r="G20" i="2" s="1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J21" i="2" s="1"/>
  <c r="K18" i="2"/>
  <c r="K21" i="2" s="1"/>
  <c r="B17" i="2"/>
  <c r="C4" i="2"/>
  <c r="D4" i="2"/>
  <c r="E4" i="2"/>
  <c r="E5" i="2"/>
  <c r="E23" i="2" s="1"/>
  <c r="F4" i="2"/>
  <c r="G4" i="2"/>
  <c r="H4" i="2"/>
  <c r="I4" i="2"/>
  <c r="I5" i="2"/>
  <c r="J4" i="2"/>
  <c r="J5" i="2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H16" i="2" s="1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F4" i="3"/>
  <c r="G4" i="3"/>
  <c r="G14" i="3" s="1"/>
  <c r="H4" i="3"/>
  <c r="I4" i="3"/>
  <c r="L4" i="1" s="1"/>
  <c r="L23" i="1" s="1"/>
  <c r="J4" i="3"/>
  <c r="J14" i="3" s="1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1" i="2" s="1"/>
  <c r="D4" i="1"/>
  <c r="E4" i="1"/>
  <c r="F4" i="1"/>
  <c r="G4" i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D23" i="2" s="1"/>
  <c r="E12" i="1"/>
  <c r="F12" i="1"/>
  <c r="F23" i="2" s="1"/>
  <c r="G12" i="1"/>
  <c r="G23" i="2" s="1"/>
  <c r="H12" i="1"/>
  <c r="H13" i="1" s="1"/>
  <c r="I12" i="1"/>
  <c r="I13" i="1" s="1"/>
  <c r="J12" i="1"/>
  <c r="J13" i="1" s="1"/>
  <c r="J14" i="1" s="1"/>
  <c r="K12" i="1"/>
  <c r="C15" i="1"/>
  <c r="D15" i="1"/>
  <c r="E15" i="1"/>
  <c r="F15" i="1"/>
  <c r="G15" i="1"/>
  <c r="H15" i="1"/>
  <c r="I15" i="1"/>
  <c r="J15" i="1"/>
  <c r="K15" i="1"/>
  <c r="K14" i="1" s="1"/>
  <c r="B15" i="1"/>
  <c r="B14" i="1" s="1"/>
  <c r="B7" i="1"/>
  <c r="B4" i="1"/>
  <c r="B20" i="2" s="1"/>
  <c r="A1" i="1"/>
  <c r="A1" i="2" s="1"/>
  <c r="A1" i="4" s="1"/>
  <c r="E1" i="6"/>
  <c r="H1" i="1" s="1"/>
  <c r="E1" i="2"/>
  <c r="C23" i="2"/>
  <c r="C16" i="2"/>
  <c r="F16" i="2"/>
  <c r="E6" i="1"/>
  <c r="E19" i="1" s="1"/>
  <c r="G6" i="1"/>
  <c r="G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J20" i="2"/>
  <c r="E20" i="2"/>
  <c r="L12" i="1"/>
  <c r="L13" i="1" s="1"/>
  <c r="L14" i="1" s="1"/>
  <c r="L25" i="1" s="1"/>
  <c r="H23" i="1"/>
  <c r="I23" i="1"/>
  <c r="J23" i="1"/>
  <c r="L5" i="1"/>
  <c r="J18" i="8" l="1"/>
  <c r="J13" i="8"/>
  <c r="C18" i="8"/>
  <c r="C13" i="8"/>
  <c r="L18" i="8"/>
  <c r="L13" i="8"/>
  <c r="D18" i="8"/>
  <c r="D13" i="8"/>
  <c r="M18" i="8"/>
  <c r="M13" i="8"/>
  <c r="E18" i="8"/>
  <c r="E13" i="8"/>
  <c r="K18" i="8"/>
  <c r="K13" i="8"/>
  <c r="F18" i="8"/>
  <c r="F13" i="8"/>
  <c r="H18" i="8"/>
  <c r="H13" i="8"/>
  <c r="G18" i="8"/>
  <c r="G13" i="8"/>
  <c r="I18" i="8"/>
  <c r="I13" i="8"/>
  <c r="C14" i="1"/>
  <c r="N11" i="1"/>
  <c r="M11" i="1"/>
  <c r="C24" i="2"/>
  <c r="I23" i="2"/>
  <c r="H14" i="1"/>
  <c r="L8" i="1"/>
  <c r="M8" i="1" s="1"/>
  <c r="J24" i="2"/>
  <c r="I24" i="2"/>
  <c r="A1" i="3"/>
  <c r="F20" i="2"/>
  <c r="E24" i="2"/>
  <c r="B6" i="1"/>
  <c r="B19" i="1" s="1"/>
  <c r="H23" i="2"/>
  <c r="L7" i="1"/>
  <c r="D14" i="3"/>
  <c r="J23" i="2"/>
  <c r="D24" i="2"/>
  <c r="F13" i="1"/>
  <c r="F14" i="1" s="1"/>
  <c r="I14" i="1"/>
  <c r="K25" i="1" s="1"/>
  <c r="M25" i="1" s="1"/>
  <c r="M14" i="1" s="1"/>
  <c r="B23" i="2"/>
  <c r="K14" i="3"/>
  <c r="K6" i="1"/>
  <c r="K19" i="1" s="1"/>
  <c r="L6" i="1"/>
  <c r="L19" i="1" s="1"/>
  <c r="L24" i="1" s="1"/>
  <c r="G13" i="1"/>
  <c r="G14" i="1" s="1"/>
  <c r="I14" i="3"/>
  <c r="E1" i="3"/>
  <c r="I16" i="2"/>
  <c r="K24" i="2"/>
  <c r="H24" i="2"/>
  <c r="B16" i="2"/>
  <c r="G24" i="2"/>
  <c r="E14" i="1"/>
  <c r="L9" i="1"/>
  <c r="E16" i="2"/>
  <c r="C20" i="2"/>
  <c r="C6" i="1"/>
  <c r="C19" i="1" s="1"/>
  <c r="D14" i="1"/>
  <c r="I6" i="1"/>
  <c r="I19" i="1" s="1"/>
  <c r="K24" i="1" s="1"/>
  <c r="M24" i="1" s="1"/>
  <c r="F24" i="2"/>
  <c r="J25" i="1"/>
  <c r="M9" i="1"/>
  <c r="N9" i="1"/>
  <c r="N8" i="1"/>
  <c r="H25" i="1"/>
  <c r="I25" i="1"/>
  <c r="I20" i="2"/>
  <c r="J24" i="1"/>
  <c r="H20" i="2"/>
  <c r="K23" i="1"/>
  <c r="M23" i="1" s="1"/>
  <c r="M4" i="1" s="1"/>
  <c r="H6" i="1"/>
  <c r="H19" i="1" s="1"/>
  <c r="F6" i="1"/>
  <c r="F19" i="1" s="1"/>
  <c r="H24" i="1" s="1"/>
  <c r="E1" i="4"/>
  <c r="K19" i="8" l="1"/>
  <c r="K27" i="8"/>
  <c r="J19" i="8"/>
  <c r="J27" i="8"/>
  <c r="E19" i="8"/>
  <c r="E27" i="8"/>
  <c r="I19" i="8"/>
  <c r="I27" i="8"/>
  <c r="M19" i="8"/>
  <c r="M27" i="8"/>
  <c r="G19" i="8"/>
  <c r="G27" i="8"/>
  <c r="D19" i="8"/>
  <c r="D27" i="8"/>
  <c r="H19" i="8"/>
  <c r="H27" i="8"/>
  <c r="L19" i="8"/>
  <c r="L27" i="8"/>
  <c r="F19" i="8"/>
  <c r="F27" i="8"/>
  <c r="C19" i="8"/>
  <c r="C27" i="8"/>
  <c r="I24" i="1"/>
  <c r="N24" i="1" s="1"/>
  <c r="N25" i="1"/>
  <c r="N14" i="1" s="1"/>
  <c r="N23" i="1"/>
  <c r="N4" i="1" s="1"/>
  <c r="M6" i="1"/>
  <c r="M10" i="1" s="1"/>
  <c r="M12" i="1" s="1"/>
  <c r="M13" i="1" s="1"/>
  <c r="M15" i="1" s="1"/>
  <c r="G28" i="8" l="1"/>
  <c r="G33" i="8"/>
  <c r="G31" i="8"/>
  <c r="C28" i="8"/>
  <c r="C31" i="8"/>
  <c r="C33" i="8"/>
  <c r="M28" i="8"/>
  <c r="M33" i="8"/>
  <c r="M31" i="8"/>
  <c r="F28" i="8"/>
  <c r="F33" i="8"/>
  <c r="F31" i="8"/>
  <c r="I28" i="8"/>
  <c r="I33" i="8"/>
  <c r="I31" i="8"/>
  <c r="L28" i="8"/>
  <c r="L33" i="8"/>
  <c r="L31" i="8"/>
  <c r="E33" i="8"/>
  <c r="E28" i="8"/>
  <c r="E31" i="8"/>
  <c r="H28" i="8"/>
  <c r="H33" i="8"/>
  <c r="H31" i="8"/>
  <c r="J28" i="8"/>
  <c r="J33" i="8"/>
  <c r="J31" i="8"/>
  <c r="D33" i="8"/>
  <c r="D28" i="8"/>
  <c r="D31" i="8"/>
  <c r="K28" i="8"/>
  <c r="K33" i="8"/>
  <c r="K31" i="8"/>
  <c r="N6" i="1"/>
  <c r="N10" i="1" s="1"/>
  <c r="N12" i="1" s="1"/>
  <c r="N13" i="1" s="1"/>
  <c r="N15" i="1" s="1"/>
  <c r="N5" i="1"/>
  <c r="M5" i="1"/>
  <c r="C34" i="8" l="1"/>
  <c r="C38" i="8"/>
  <c r="C39" i="8" s="1"/>
  <c r="L38" i="8"/>
  <c r="L34" i="8"/>
  <c r="D34" i="8"/>
  <c r="D38" i="8"/>
  <c r="D39" i="8" s="1"/>
  <c r="J34" i="8"/>
  <c r="J38" i="8"/>
  <c r="I34" i="8"/>
  <c r="I38" i="8"/>
  <c r="G34" i="8"/>
  <c r="G38" i="8"/>
  <c r="H34" i="8"/>
  <c r="H38" i="8"/>
  <c r="H39" i="8" s="1"/>
  <c r="F34" i="8"/>
  <c r="F38" i="8"/>
  <c r="F39" i="8" s="1"/>
  <c r="K34" i="8"/>
  <c r="K38" i="8"/>
  <c r="K39" i="8" s="1"/>
  <c r="M38" i="8"/>
  <c r="M34" i="8"/>
  <c r="E34" i="8"/>
  <c r="E38" i="8"/>
  <c r="G39" i="8" l="1"/>
  <c r="E39" i="8"/>
  <c r="I39" i="8"/>
  <c r="J39" i="8"/>
  <c r="M39" i="8"/>
  <c r="L39" i="8"/>
</calcChain>
</file>

<file path=xl/sharedStrings.xml><?xml version="1.0" encoding="utf-8"?>
<sst xmlns="http://schemas.openxmlformats.org/spreadsheetml/2006/main" count="324" uniqueCount="202">
  <si>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</si>
  <si>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</si>
  <si>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</si>
  <si>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</si>
  <si>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</si>
  <si>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</si>
  <si>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</si>
  <si>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</si>
  <si>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</si>
  <si>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</si>
  <si>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</si>
  <si>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</si>
  <si>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</si>
  <si>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</si>
  <si>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</si>
  <si>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</si>
  <si>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</si>
  <si>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</si>
  <si>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</si>
  <si>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</si>
  <si>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</si>
  <si>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</si>
  <si>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</si>
  <si>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</si>
  <si>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</si>
  <si>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</si>
  <si>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</si>
  <si>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</si>
  <si>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</si>
  <si>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</si>
  <si>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</si>
  <si>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</si>
  <si>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</si>
  <si>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</si>
  <si>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</si>
  <si>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</si>
  <si>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</si>
  <si>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</si>
  <si>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</si>
  <si>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</si>
  <si>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</si>
  <si>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</si>
  <si>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</si>
  <si>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</si>
  <si>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</si>
  <si>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</si>
  <si>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</si>
  <si>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</si>
  <si>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</si>
  <si>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</si>
  <si>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</si>
  <si>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</si>
  <si>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</si>
  <si>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</si>
  <si>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</si>
  <si>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</si>
  <si>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</si>
  <si>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</si>
  <si>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</si>
  <si>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</si>
  <si>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</si>
  <si>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</si>
  <si>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</si>
  <si>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</si>
  <si>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</si>
  <si>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</si>
  <si>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</si>
  <si>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</si>
  <si>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</si>
  <si>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</si>
  <si>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</si>
  <si>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</si>
  <si>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</si>
  <si>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</si>
  <si>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</si>
  <si>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</si>
  <si>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</si>
  <si>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</si>
  <si>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</si>
  <si>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</si>
  <si>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</si>
  <si>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</si>
  <si>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</si>
  <si>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</si>
  <si>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</si>
  <si>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</si>
  <si>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</si>
  <si>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</si>
  <si>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</si>
  <si>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</si>
  <si>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</si>
  <si>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</si>
  <si>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</si>
  <si>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</si>
  <si>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LTM</t>
  </si>
  <si>
    <t>INCOME STATEMENT</t>
  </si>
  <si>
    <t xml:space="preserve">Sales Growth </t>
  </si>
  <si>
    <t>-</t>
  </si>
  <si>
    <t>COGS</t>
  </si>
  <si>
    <t>COGS % Sales</t>
  </si>
  <si>
    <t>GROSS PROFIT</t>
  </si>
  <si>
    <t>SELLING AND GENERAL EXPENSES</t>
  </si>
  <si>
    <t>S&amp;G Exp % Sales</t>
  </si>
  <si>
    <t>EBITDA</t>
  </si>
  <si>
    <t>EBITDA Margins</t>
  </si>
  <si>
    <t>Interest % Sales</t>
  </si>
  <si>
    <t>Depreciation % Sales</t>
  </si>
  <si>
    <t>Gross Margins</t>
  </si>
  <si>
    <t>Earnings Before Tax</t>
  </si>
  <si>
    <t>EBT % Sales</t>
  </si>
  <si>
    <t>Effective Tax Rate</t>
  </si>
  <si>
    <t>Net Profit</t>
  </si>
  <si>
    <t>Net Margin</t>
  </si>
  <si>
    <t>Earning Per Share</t>
  </si>
  <si>
    <t>Dividend Per Share</t>
  </si>
  <si>
    <t>Dividend Pay Out Ratio</t>
  </si>
  <si>
    <t>EPS Growth%</t>
  </si>
  <si>
    <t>Retained Earnings</t>
  </si>
  <si>
    <t>Borrowing</t>
  </si>
  <si>
    <t>Total Lialbilities</t>
  </si>
  <si>
    <t>Fixed Asssets Net Block</t>
  </si>
  <si>
    <t>Capiital Work In Progress</t>
  </si>
  <si>
    <t>Total Non Current Asssets</t>
  </si>
  <si>
    <t>Total Current Assets</t>
  </si>
  <si>
    <t>TOTAL ASSETS</t>
  </si>
  <si>
    <t>Cash and Bank</t>
  </si>
  <si>
    <t>CHECK</t>
  </si>
  <si>
    <t>Cash from Operating Activity 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</si>
  <si>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</si>
  <si>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</si>
  <si>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</si>
  <si>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</si>
  <si>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</si>
  <si>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</si>
  <si>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</si>
  <si>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</si>
  <si>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</si>
  <si>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</si>
  <si>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</si>
  <si>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</si>
  <si>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</si>
  <si>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</si>
  <si>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</si>
  <si>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</si>
  <si>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</si>
  <si>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</si>
  <si>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 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</si>
  <si>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</si>
  <si>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</si>
  <si>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</si>
  <si>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</si>
  <si>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</si>
  <si>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</si>
  <si>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</si>
  <si>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</si>
  <si>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STATEMENT</t>
  </si>
  <si>
    <t>#</t>
  </si>
  <si>
    <t>Operating Activities</t>
  </si>
  <si>
    <t>Investing Activities</t>
  </si>
  <si>
    <t>Cash from Investing Activities</t>
  </si>
  <si>
    <t>Cash from Operating Activities</t>
  </si>
  <si>
    <t>Financing Activities</t>
  </si>
  <si>
    <t>Cash from Financing Activities</t>
  </si>
  <si>
    <t>Gross Margin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</si>
  <si>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</si>
  <si>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</si>
  <si>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</si>
  <si>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</si>
  <si>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</si>
  <si>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</si>
  <si>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</si>
  <si>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</si>
  <si>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</si>
  <si>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Depriciation%Sales</t>
  </si>
  <si>
    <t>OperatingIncome%Sales</t>
  </si>
  <si>
    <t>Return on Capital Employed</t>
  </si>
  <si>
    <t>Retained Earnings %</t>
  </si>
  <si>
    <t>Return on Equity %</t>
  </si>
  <si>
    <t>Self Sustained Growth Rate</t>
  </si>
  <si>
    <t>Interest Coverage Ratio</t>
  </si>
  <si>
    <t>Creditor Turnover Ratio</t>
  </si>
  <si>
    <t>Debtor Turnover Ratio</t>
  </si>
  <si>
    <t>Fixed Asset Turnover</t>
  </si>
  <si>
    <t>Capital Turnover</t>
  </si>
  <si>
    <t>Payable Days</t>
  </si>
  <si>
    <t>Inventory Days</t>
  </si>
  <si>
    <t>Cash Conversion Cycle</t>
  </si>
  <si>
    <t>CFO/Total Assets</t>
  </si>
  <si>
    <t>Cfo/Total Debt</t>
  </si>
  <si>
    <t>CFO/Sales</t>
  </si>
  <si>
    <t>RETURN ON ASSETS</t>
  </si>
  <si>
    <t>PAT vs Total Assets</t>
  </si>
  <si>
    <t>EBIT vs Total Assets</t>
  </si>
  <si>
    <t>PAT after Tax benefit vs Total Assets</t>
  </si>
  <si>
    <t>RETURN ON EQUITY</t>
  </si>
  <si>
    <t>Cash Flow Earning Per Share</t>
  </si>
  <si>
    <t>Dividend Yield Ratio</t>
  </si>
  <si>
    <t>Mean</t>
  </si>
  <si>
    <t>Median</t>
  </si>
  <si>
    <t xml:space="preserve">Trend </t>
  </si>
  <si>
    <t>Year</t>
  </si>
  <si>
    <t>Year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</si>
</sst>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[Red]&quot;₹&quot;\ #,##0.00"/>
    <numFmt numFmtId="167" formatCode="&quot;₹&quot;\ #,##0.00;[Red]&quot;₹&quot;\ \(#,##0.00\);\-"/>
    <numFmt numFmtId="168" formatCode="0.00&quot;X&quot;"/>
    <numFmt numFmtId="169" formatCode="0\ &quot;Days&quot;"/>
    <numFmt numFmtId="174" formatCode="#,##0.0"/>
    <numFmt numFmtId="176" formatCode="0&quot;A&quot;"/>
    <numFmt numFmtId="177" formatCode="0&quot;E&quot;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95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0" fontId="2" fillId="6" borderId="0" xfId="0" applyFont="1" applyFill="1" applyAlignment="1">
      <alignment horizontal="right"/>
    </xf>
    <xf numFmtId="0" fontId="1" fillId="0" borderId="0" xfId="0" applyFont="1"/>
    <xf numFmtId="10" fontId="10" fillId="0" borderId="0" xfId="0" applyNumberFormat="1" applyFont="1"/>
    <xf numFmtId="0" fontId="10" fillId="0" borderId="0" xfId="0" applyFont="1"/>
    <xf numFmtId="10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67" fontId="1" fillId="0" borderId="0" xfId="0" applyNumberFormat="1" applyFont="1"/>
    <xf numFmtId="166" fontId="1" fillId="0" borderId="0" xfId="0" applyNumberFormat="1" applyFont="1"/>
    <xf numFmtId="0" fontId="1" fillId="7" borderId="0" xfId="0" applyFont="1" applyFill="1"/>
    <xf numFmtId="0" fontId="0" fillId="7" borderId="0" xfId="0" applyFill="1"/>
    <xf numFmtId="9" fontId="1" fillId="0" borderId="0" xfId="0" applyNumberFormat="1" applyFont="1"/>
    <xf numFmtId="0" fontId="11" fillId="8" borderId="0" xfId="0" applyFont="1" applyFill="1"/>
    <xf numFmtId="17" fontId="11" fillId="8" borderId="0" xfId="0" applyNumberFormat="1" applyFont="1" applyFill="1"/>
    <xf numFmtId="0" fontId="11" fillId="8" borderId="0" xfId="0" applyFont="1" applyFill="1" applyAlignment="1">
      <alignment horizontal="right"/>
    </xf>
    <xf numFmtId="167" fontId="11" fillId="0" borderId="0" xfId="0" applyNumberFormat="1" applyFont="1"/>
    <xf numFmtId="167" fontId="0" fillId="0" borderId="0" xfId="0" applyNumberFormat="1" applyFont="1"/>
    <xf numFmtId="0" fontId="0" fillId="0" borderId="0" xfId="0" applyFont="1"/>
    <xf numFmtId="17" fontId="0" fillId="0" borderId="0" xfId="0" applyNumberFormat="1"/>
    <xf numFmtId="3" fontId="0" fillId="0" borderId="0" xfId="0" applyNumberFormat="1"/>
    <xf numFmtId="167" fontId="9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167" fontId="11" fillId="0" borderId="1" xfId="0" applyNumberFormat="1" applyFont="1" applyBorder="1"/>
    <xf numFmtId="10" fontId="0" fillId="0" borderId="0" xfId="0" applyNumberFormat="1"/>
    <xf numFmtId="10" fontId="0" fillId="0" borderId="0" xfId="0" applyNumberFormat="1" applyBorder="1"/>
    <xf numFmtId="2" fontId="0" fillId="0" borderId="0" xfId="0" applyNumberFormat="1" applyBorder="1"/>
    <xf numFmtId="10" fontId="0" fillId="0" borderId="0" xfId="6" applyNumberFormat="1" applyFont="1" applyBorder="1"/>
    <xf numFmtId="0" fontId="2" fillId="8" borderId="0" xfId="0" applyFont="1" applyFill="1"/>
    <xf numFmtId="17" fontId="2" fillId="8" borderId="0" xfId="0" applyNumberFormat="1" applyFont="1" applyFill="1"/>
    <xf numFmtId="0" fontId="0" fillId="0" borderId="2" xfId="0" applyBorder="1"/>
    <xf numFmtId="10" fontId="0" fillId="0" borderId="2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2" xfId="0" applyNumberFormat="1" applyBorder="1"/>
    <xf numFmtId="9" fontId="0" fillId="0" borderId="0" xfId="0" applyNumberFormat="1" applyBorder="1"/>
    <xf numFmtId="168" fontId="0" fillId="0" borderId="3" xfId="0" applyNumberFormat="1" applyBorder="1"/>
    <xf numFmtId="168" fontId="0" fillId="0" borderId="2" xfId="0" applyNumberFormat="1" applyBorder="1"/>
    <xf numFmtId="168" fontId="0" fillId="0" borderId="0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69" fontId="0" fillId="0" borderId="3" xfId="0" applyNumberFormat="1" applyBorder="1"/>
    <xf numFmtId="10" fontId="0" fillId="0" borderId="3" xfId="0" applyNumberFormat="1" applyBorder="1"/>
    <xf numFmtId="17" fontId="2" fillId="6" borderId="0" xfId="0" applyNumberFormat="1" applyFont="1" applyFill="1" applyAlignment="1">
      <alignment horizontal="center"/>
    </xf>
    <xf numFmtId="0" fontId="1" fillId="0" borderId="2" xfId="0" applyFont="1" applyBorder="1"/>
    <xf numFmtId="0" fontId="0" fillId="0" borderId="2" xfId="0" applyFont="1" applyBorder="1"/>
    <xf numFmtId="10" fontId="0" fillId="0" borderId="2" xfId="0" applyNumberFormat="1" applyFont="1" applyBorder="1"/>
    <xf numFmtId="0" fontId="0" fillId="0" borderId="3" xfId="0" applyFont="1" applyBorder="1"/>
    <xf numFmtId="10" fontId="0" fillId="0" borderId="3" xfId="0" applyNumberFormat="1" applyFont="1" applyBorder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5" fillId="10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/>
    <xf numFmtId="0" fontId="5" fillId="10" borderId="0" xfId="0" applyFont="1" applyFill="1" applyAlignment="1">
      <alignment horizontal="center"/>
    </xf>
    <xf numFmtId="174" fontId="12" fillId="9" borderId="0" xfId="0" applyNumberFormat="1" applyFont="1" applyFill="1" applyAlignment="1">
      <alignment horizontal="right" vertical="center" wrapText="1"/>
    </xf>
    <xf numFmtId="0" fontId="0" fillId="11" borderId="0" xfId="0" applyFill="1" applyAlignment="1">
      <alignment horizontal="left"/>
    </xf>
    <xf numFmtId="177" fontId="0" fillId="11" borderId="0" xfId="0" applyNumberFormat="1" applyFill="1"/>
    <xf numFmtId="174" fontId="0" fillId="11" borderId="0" xfId="0" applyNumberFormat="1" applyFill="1"/>
    <xf numFmtId="10" fontId="0" fillId="11" borderId="0" xfId="0" applyNumberFormat="1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2:M105"/>
  <sheetViews>
    <sheetView showGridLines="0" topLeftCell="C1" workbookViewId="0">
      <selection activeCell="D1" sqref="D1"/>
    </sheetView>
  </sheetViews>
  <sheetFormatPr defaultRowHeight="14.4" x14ac:dyDescent="0.3"/>
  <cols>
    <col min="1" max="1" width="1.88671875" customWidth="1"/>
    <col min="2" max="2" width="29.88671875" bestFit="1" customWidth="1"/>
    <col min="3" max="12" width="16.88671875" bestFit="1" customWidth="1"/>
    <col min="13" max="13" width="13.21875" bestFit="1" customWidth="1"/>
  </cols>
  <sheetData>
    <row r="2" spans="1:13" x14ac:dyDescent="0.3">
      <c r="B2" s="82" t="str">
        <f>"HISTORICAL FINANCIAL STATEMENT -" &amp;'Data Sheet'!B1</f>
        <v>HISTORICAL FINANCIAL STATEMENT -TATA MOTORS LTD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</row>
    <row r="3" spans="1:13" x14ac:dyDescent="0.3">
      <c r="B3" s="32" t="s">
        <v>93</v>
      </c>
      <c r="C3" s="33">
        <f>'Data Sheet'!B16</f>
        <v>42460</v>
      </c>
      <c r="D3" s="33">
        <f>'Data Sheet'!C16</f>
        <v>42825</v>
      </c>
      <c r="E3" s="33">
        <f>'Data Sheet'!D16</f>
        <v>43190</v>
      </c>
      <c r="F3" s="33">
        <f>'Data Sheet'!E16</f>
        <v>43555</v>
      </c>
      <c r="G3" s="33">
        <f>'Data Sheet'!F16</f>
        <v>43921</v>
      </c>
      <c r="H3" s="33">
        <f>'Data Sheet'!G16</f>
        <v>44286</v>
      </c>
      <c r="I3" s="33">
        <f>'Data Sheet'!H16</f>
        <v>44651</v>
      </c>
      <c r="J3" s="33">
        <f>'Data Sheet'!I16</f>
        <v>45016</v>
      </c>
      <c r="K3" s="33">
        <f>'Data Sheet'!J16</f>
        <v>45382</v>
      </c>
      <c r="L3" s="33">
        <f>'Data Sheet'!K16</f>
        <v>45747</v>
      </c>
      <c r="M3" s="34" t="s">
        <v>94</v>
      </c>
    </row>
    <row r="4" spans="1:13" x14ac:dyDescent="0.3">
      <c r="B4" s="45"/>
      <c r="C4" s="46"/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1:13" x14ac:dyDescent="0.3">
      <c r="A5" s="42" t="s">
        <v>156</v>
      </c>
      <c r="B5" s="42" t="s">
        <v>95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spans="1:13" x14ac:dyDescent="0.3">
      <c r="B6" t="s">
        <v>6</v>
      </c>
      <c r="C6" s="40">
        <f>IFERROR('Data Sheet'!B17,0)</f>
        <v>273045.59999999998</v>
      </c>
      <c r="D6" s="40">
        <f>IFERROR('Data Sheet'!C17,0)</f>
        <v>269692.51</v>
      </c>
      <c r="E6" s="40">
        <f>IFERROR('Data Sheet'!D17,0)</f>
        <v>291550.48</v>
      </c>
      <c r="F6" s="40">
        <f>IFERROR('Data Sheet'!E17,0)</f>
        <v>301938.40000000002</v>
      </c>
      <c r="G6" s="40">
        <f>IFERROR('Data Sheet'!F17,0)</f>
        <v>261067.97</v>
      </c>
      <c r="H6" s="40">
        <f>IFERROR('Data Sheet'!G17,0)</f>
        <v>249794.75</v>
      </c>
      <c r="I6" s="40">
        <f>IFERROR('Data Sheet'!H17,0)</f>
        <v>278453.62</v>
      </c>
      <c r="J6" s="40">
        <f>IFERROR('Data Sheet'!I17,0)</f>
        <v>345966.97</v>
      </c>
      <c r="K6" s="40">
        <f>IFERROR('Data Sheet'!J17,0)</f>
        <v>434016</v>
      </c>
      <c r="L6" s="40">
        <f>IFERROR('Data Sheet'!K17,0)</f>
        <v>439695</v>
      </c>
      <c r="M6" s="41">
        <f>IFERROR(SUM('Data Sheet'!H17:K17),0)</f>
        <v>1498131.5899999999</v>
      </c>
    </row>
    <row r="7" spans="1:13" x14ac:dyDescent="0.3">
      <c r="B7" s="37" t="s">
        <v>96</v>
      </c>
      <c r="C7" s="39" t="s">
        <v>97</v>
      </c>
      <c r="D7" s="36">
        <f>D6/C6-1</f>
        <v>-1.2280329732469508E-2</v>
      </c>
      <c r="E7" s="36">
        <f t="shared" ref="E7:M7" si="0">E6/D6-1</f>
        <v>8.104774581985974E-2</v>
      </c>
      <c r="F7" s="36">
        <f t="shared" si="0"/>
        <v>3.5629919045237157E-2</v>
      </c>
      <c r="G7" s="36">
        <f t="shared" si="0"/>
        <v>-0.135360159555724</v>
      </c>
      <c r="H7" s="36">
        <f t="shared" si="0"/>
        <v>-4.3181168490336042E-2</v>
      </c>
      <c r="I7" s="36">
        <f t="shared" si="0"/>
        <v>0.11472967306158344</v>
      </c>
      <c r="J7" s="36">
        <f t="shared" si="0"/>
        <v>0.24245815155859707</v>
      </c>
      <c r="K7" s="36">
        <f t="shared" si="0"/>
        <v>0.25450126062612277</v>
      </c>
      <c r="L7" s="36">
        <f t="shared" si="0"/>
        <v>1.3084771068347711E-2</v>
      </c>
      <c r="M7" s="36">
        <f t="shared" si="0"/>
        <v>2.4072063362103271</v>
      </c>
    </row>
    <row r="9" spans="1:13" x14ac:dyDescent="0.3">
      <c r="B9" s="35" t="s">
        <v>98</v>
      </c>
      <c r="C9" s="40">
        <f>IFERROR(SUM('Data Sheet'!B18,'Data Sheet'!B20,'Data Sheet'!B21,'Data Sheet'!B22)-1*'Data Sheet'!B19,0)</f>
        <v>205509.07</v>
      </c>
      <c r="D9" s="40">
        <f>IFERROR(SUM('Data Sheet'!C18,'Data Sheet'!C20,'Data Sheet'!C21,'Data Sheet'!C22)-1*'Data Sheet'!C19,0)</f>
        <v>205454.23999999996</v>
      </c>
      <c r="E9" s="40">
        <f>IFERROR(SUM('Data Sheet'!D18,'Data Sheet'!D20,'Data Sheet'!D21,'Data Sheet'!D22)-1*'Data Sheet'!D19,0)</f>
        <v>228429.83</v>
      </c>
      <c r="F9" s="40">
        <f>IFERROR(SUM('Data Sheet'!E18,'Data Sheet'!E20,'Data Sheet'!E21,'Data Sheet'!E22)-1*'Data Sheet'!E19,0)</f>
        <v>242845.53</v>
      </c>
      <c r="G9" s="40">
        <f>IFERROR(SUM('Data Sheet'!F18,'Data Sheet'!F20,'Data Sheet'!F21,'Data Sheet'!F22)-1*'Data Sheet'!F19,0)</f>
        <v>210376.07000000004</v>
      </c>
      <c r="H9" s="40">
        <f>IFERROR(SUM('Data Sheet'!G18,'Data Sheet'!G20,'Data Sheet'!G21,'Data Sheet'!G22)-1*'Data Sheet'!G19,0)</f>
        <v>195326.04</v>
      </c>
      <c r="I9" s="40">
        <f>IFERROR(SUM('Data Sheet'!H18,'Data Sheet'!H20,'Data Sheet'!H21,'Data Sheet'!H22)-1*'Data Sheet'!H19,0)</f>
        <v>223300.00999999998</v>
      </c>
      <c r="J9" s="40">
        <f>IFERROR(SUM('Data Sheet'!I18,'Data Sheet'!I20,'Data Sheet'!I21,'Data Sheet'!I22)-1*'Data Sheet'!I19,0)</f>
        <v>274403.64</v>
      </c>
      <c r="K9" s="40">
        <f>IFERROR(SUM('Data Sheet'!J18,'Data Sheet'!J20,'Data Sheet'!J21,'Data Sheet'!J22)-1*'Data Sheet'!J19,0)</f>
        <v>334380</v>
      </c>
      <c r="L9" s="40">
        <f>IFERROR(SUM('Data Sheet'!K18,'Data Sheet'!K20,'Data Sheet'!K21,'Data Sheet'!K22)-1*'Data Sheet'!K19,0)</f>
        <v>340809</v>
      </c>
      <c r="M9" s="41">
        <f>IFERROR(SUM('Data Sheet'!H43:K43),0)</f>
        <v>384424</v>
      </c>
    </row>
    <row r="10" spans="1:13" x14ac:dyDescent="0.3">
      <c r="B10" s="37" t="s">
        <v>99</v>
      </c>
      <c r="C10" s="36">
        <f>C9/C6</f>
        <v>0.75265475803309057</v>
      </c>
      <c r="D10" s="36">
        <f t="shared" ref="D10:L10" si="1">D9/D6</f>
        <v>0.76180921746770036</v>
      </c>
      <c r="E10" s="36">
        <f t="shared" si="1"/>
        <v>0.78350009919380004</v>
      </c>
      <c r="F10" s="36">
        <f t="shared" si="1"/>
        <v>0.80428832503583503</v>
      </c>
      <c r="G10" s="36">
        <f t="shared" si="1"/>
        <v>0.80582872728508226</v>
      </c>
      <c r="H10" s="36">
        <f t="shared" si="1"/>
        <v>0.7819461377791167</v>
      </c>
      <c r="I10" s="36">
        <f t="shared" si="1"/>
        <v>0.80192891728252624</v>
      </c>
      <c r="J10" s="36">
        <f t="shared" si="1"/>
        <v>0.79314982005363122</v>
      </c>
      <c r="K10" s="36">
        <f t="shared" si="1"/>
        <v>0.7704324264543243</v>
      </c>
      <c r="L10" s="36">
        <f t="shared" si="1"/>
        <v>0.77510319653396109</v>
      </c>
      <c r="M10" s="38" t="s">
        <v>97</v>
      </c>
    </row>
    <row r="12" spans="1:13" x14ac:dyDescent="0.3">
      <c r="B12" s="54" t="s">
        <v>100</v>
      </c>
      <c r="C12" s="55">
        <f>C6-C9</f>
        <v>67536.52999999997</v>
      </c>
      <c r="D12" s="55">
        <f t="shared" ref="D12:M12" si="2">D6-D9</f>
        <v>64238.270000000048</v>
      </c>
      <c r="E12" s="55">
        <f t="shared" si="2"/>
        <v>63120.649999999994</v>
      </c>
      <c r="F12" s="55">
        <f t="shared" si="2"/>
        <v>59092.870000000024</v>
      </c>
      <c r="G12" s="55">
        <f t="shared" si="2"/>
        <v>50691.899999999965</v>
      </c>
      <c r="H12" s="55">
        <f t="shared" si="2"/>
        <v>54468.709999999992</v>
      </c>
      <c r="I12" s="55">
        <f t="shared" si="2"/>
        <v>55153.610000000015</v>
      </c>
      <c r="J12" s="55">
        <f t="shared" si="2"/>
        <v>71563.329999999958</v>
      </c>
      <c r="K12" s="55">
        <f t="shared" si="2"/>
        <v>99636</v>
      </c>
      <c r="L12" s="55">
        <f t="shared" si="2"/>
        <v>98886</v>
      </c>
      <c r="M12" s="55">
        <f t="shared" si="2"/>
        <v>1113707.5899999999</v>
      </c>
    </row>
    <row r="13" spans="1:13" x14ac:dyDescent="0.3">
      <c r="B13" s="36" t="s">
        <v>107</v>
      </c>
      <c r="C13" s="36">
        <f>C12/C6</f>
        <v>0.24734524196690946</v>
      </c>
      <c r="D13" s="36">
        <f t="shared" ref="D13:M13" si="3">D12/D6</f>
        <v>0.23819078253229964</v>
      </c>
      <c r="E13" s="36">
        <f t="shared" si="3"/>
        <v>0.21649990080619999</v>
      </c>
      <c r="F13" s="36">
        <f t="shared" si="3"/>
        <v>0.19571167496416494</v>
      </c>
      <c r="G13" s="36">
        <f t="shared" si="3"/>
        <v>0.19417127271491774</v>
      </c>
      <c r="H13" s="36">
        <f t="shared" si="3"/>
        <v>0.2180538622208833</v>
      </c>
      <c r="I13" s="36">
        <f t="shared" si="3"/>
        <v>0.19807108271747378</v>
      </c>
      <c r="J13" s="36">
        <f t="shared" si="3"/>
        <v>0.20685017994636876</v>
      </c>
      <c r="K13" s="36">
        <f t="shared" si="3"/>
        <v>0.22956757354567572</v>
      </c>
      <c r="L13" s="36">
        <f t="shared" si="3"/>
        <v>0.22489680346603896</v>
      </c>
      <c r="M13" s="36">
        <f t="shared" si="3"/>
        <v>0.74339770780749637</v>
      </c>
    </row>
    <row r="15" spans="1:13" x14ac:dyDescent="0.3">
      <c r="B15" s="35" t="s">
        <v>101</v>
      </c>
      <c r="C15" s="40">
        <f>IFERROR(SUM('Data Sheet'!B23,'Data Sheet'!B24),0)</f>
        <v>29141.280000000002</v>
      </c>
      <c r="D15" s="40">
        <f>IFERROR(SUM('Data Sheet'!C23,'Data Sheet'!C24),0)</f>
        <v>34649.58</v>
      </c>
      <c r="E15" s="40">
        <f>IFERROR(SUM('Data Sheet'!D23,'Data Sheet'!D24),0)</f>
        <v>31662.97</v>
      </c>
      <c r="F15" s="40">
        <f>IFERROR(SUM('Data Sheet'!E23,'Data Sheet'!E24),0)</f>
        <v>34428.54</v>
      </c>
      <c r="G15" s="40">
        <f>IFERROR(SUM('Data Sheet'!F23,'Data Sheet'!F24),0)</f>
        <v>32704.83</v>
      </c>
      <c r="H15" s="40">
        <f>IFERROR(SUM('Data Sheet'!G23,'Data Sheet'!G24),0)</f>
        <v>22181.280000000002</v>
      </c>
      <c r="I15" s="40">
        <f>IFERROR(SUM('Data Sheet'!H23,'Data Sheet'!H24),0)</f>
        <v>30433.52</v>
      </c>
      <c r="J15" s="40">
        <f>IFERROR(SUM('Data Sheet'!I23,'Data Sheet'!I24),0)</f>
        <v>39747.53</v>
      </c>
      <c r="K15" s="40">
        <f>IFERROR(SUM('Data Sheet'!J23,'Data Sheet'!J24),0)</f>
        <v>41812</v>
      </c>
      <c r="L15" s="40">
        <f>IFERROR(SUM('Data Sheet'!K23,'Data Sheet'!K24),0)</f>
        <v>43670</v>
      </c>
    </row>
    <row r="16" spans="1:13" x14ac:dyDescent="0.3">
      <c r="B16" s="37" t="s">
        <v>102</v>
      </c>
      <c r="C16" s="36">
        <f t="shared" ref="C16:M16" si="4">C15/C6</f>
        <v>0.10672678849247161</v>
      </c>
      <c r="D16" s="36">
        <f t="shared" si="4"/>
        <v>0.12847809529452636</v>
      </c>
      <c r="E16" s="36">
        <f t="shared" si="4"/>
        <v>0.10860201636437025</v>
      </c>
      <c r="F16" s="36">
        <f t="shared" si="4"/>
        <v>0.11402504616835751</v>
      </c>
      <c r="G16" s="36">
        <f t="shared" si="4"/>
        <v>0.12527323822987554</v>
      </c>
      <c r="H16" s="36">
        <f t="shared" si="4"/>
        <v>8.8798023177028354E-2</v>
      </c>
      <c r="I16" s="36">
        <f t="shared" si="4"/>
        <v>0.10929475436519734</v>
      </c>
      <c r="J16" s="36">
        <f t="shared" si="4"/>
        <v>0.11488822184383672</v>
      </c>
      <c r="K16" s="36">
        <f t="shared" si="4"/>
        <v>9.6337462213374622E-2</v>
      </c>
      <c r="L16" s="36">
        <f t="shared" si="4"/>
        <v>9.9318846018262658E-2</v>
      </c>
      <c r="M16" s="37">
        <f t="shared" si="4"/>
        <v>0</v>
      </c>
    </row>
    <row r="18" spans="2:13" x14ac:dyDescent="0.3">
      <c r="B18" s="55" t="s">
        <v>103</v>
      </c>
      <c r="C18" s="55">
        <f t="shared" ref="C18:M18" si="5">C12-C15</f>
        <v>38395.249999999971</v>
      </c>
      <c r="D18" s="55">
        <f t="shared" si="5"/>
        <v>29588.690000000046</v>
      </c>
      <c r="E18" s="55">
        <f t="shared" si="5"/>
        <v>31457.679999999993</v>
      </c>
      <c r="F18" s="55">
        <f t="shared" si="5"/>
        <v>24664.330000000024</v>
      </c>
      <c r="G18" s="55">
        <f t="shared" si="5"/>
        <v>17987.069999999963</v>
      </c>
      <c r="H18" s="55">
        <f t="shared" si="5"/>
        <v>32287.429999999989</v>
      </c>
      <c r="I18" s="55">
        <f t="shared" si="5"/>
        <v>24720.090000000015</v>
      </c>
      <c r="J18" s="55">
        <f t="shared" si="5"/>
        <v>31815.799999999959</v>
      </c>
      <c r="K18" s="55">
        <f t="shared" si="5"/>
        <v>57824</v>
      </c>
      <c r="L18" s="55">
        <f t="shared" si="5"/>
        <v>55216</v>
      </c>
      <c r="M18" s="55">
        <f t="shared" si="5"/>
        <v>1113707.5899999999</v>
      </c>
    </row>
    <row r="19" spans="2:13" x14ac:dyDescent="0.3">
      <c r="B19" s="37" t="s">
        <v>104</v>
      </c>
      <c r="C19" s="36">
        <f t="shared" ref="C19:M19" si="6">C18/C6</f>
        <v>0.14061845347443788</v>
      </c>
      <c r="D19" s="36">
        <f t="shared" si="6"/>
        <v>0.10971268723777329</v>
      </c>
      <c r="E19" s="36">
        <f t="shared" si="6"/>
        <v>0.10789788444182975</v>
      </c>
      <c r="F19" s="36">
        <f t="shared" si="6"/>
        <v>8.1686628795807431E-2</v>
      </c>
      <c r="G19" s="36">
        <f t="shared" si="6"/>
        <v>6.8898034485042198E-2</v>
      </c>
      <c r="H19" s="36">
        <f t="shared" si="6"/>
        <v>0.12925583904385496</v>
      </c>
      <c r="I19" s="36">
        <f t="shared" si="6"/>
        <v>8.877632835227646E-2</v>
      </c>
      <c r="J19" s="36">
        <f t="shared" si="6"/>
        <v>9.1961958102532049E-2</v>
      </c>
      <c r="K19" s="36">
        <f t="shared" si="6"/>
        <v>0.13323011133230112</v>
      </c>
      <c r="L19" s="36">
        <f t="shared" si="6"/>
        <v>0.12557795744777631</v>
      </c>
      <c r="M19" s="36">
        <f t="shared" si="6"/>
        <v>0.74339770780749637</v>
      </c>
    </row>
    <row r="21" spans="2:13" x14ac:dyDescent="0.3">
      <c r="B21" s="40" t="s">
        <v>11</v>
      </c>
      <c r="C21" s="40">
        <f>IFERROR('Data Sheet'!B27,0)</f>
        <v>4889.08</v>
      </c>
      <c r="D21" s="40">
        <f>IFERROR('Data Sheet'!C27,0)</f>
        <v>4238.01</v>
      </c>
      <c r="E21" s="40">
        <f>IFERROR('Data Sheet'!D27,0)</f>
        <v>4681.79</v>
      </c>
      <c r="F21" s="40">
        <f>IFERROR('Data Sheet'!E27,0)</f>
        <v>5758.6</v>
      </c>
      <c r="G21" s="40">
        <f>IFERROR('Data Sheet'!F27,0)</f>
        <v>7243.33</v>
      </c>
      <c r="H21" s="40">
        <f>IFERROR('Data Sheet'!G27,0)</f>
        <v>8097.17</v>
      </c>
      <c r="I21" s="40">
        <f>IFERROR('Data Sheet'!H27,0)</f>
        <v>9311.86</v>
      </c>
      <c r="J21" s="40">
        <f>IFERROR('Data Sheet'!I27,0)</f>
        <v>10225.48</v>
      </c>
      <c r="K21" s="40">
        <f>IFERROR('Data Sheet'!J27,0)</f>
        <v>7594</v>
      </c>
      <c r="L21" s="40">
        <f>IFERROR('Data Sheet'!K27,0)</f>
        <v>5083</v>
      </c>
      <c r="M21" s="40">
        <f>IFERROR(SUM('Data Sheet'!H46:K46),0)</f>
        <v>6317</v>
      </c>
    </row>
    <row r="22" spans="2:13" x14ac:dyDescent="0.3">
      <c r="B22" s="36" t="s">
        <v>105</v>
      </c>
      <c r="C22" s="36">
        <f t="shared" ref="C22:M22" si="7">C21/C6</f>
        <v>1.7905727101993223E-2</v>
      </c>
      <c r="D22" s="36">
        <f t="shared" si="7"/>
        <v>1.5714229512714312E-2</v>
      </c>
      <c r="E22" s="36">
        <f t="shared" si="7"/>
        <v>1.605824830060304E-2</v>
      </c>
      <c r="F22" s="36">
        <f t="shared" si="7"/>
        <v>1.9072102124141878E-2</v>
      </c>
      <c r="G22" s="36">
        <f t="shared" si="7"/>
        <v>2.7744996829752802E-2</v>
      </c>
      <c r="H22" s="36">
        <f t="shared" si="7"/>
        <v>3.2415292955516477E-2</v>
      </c>
      <c r="I22" s="36">
        <f t="shared" si="7"/>
        <v>3.3441332168710897E-2</v>
      </c>
      <c r="J22" s="36">
        <f t="shared" si="7"/>
        <v>2.9556231914277829E-2</v>
      </c>
      <c r="K22" s="36">
        <f t="shared" si="7"/>
        <v>1.7497050799970507E-2</v>
      </c>
      <c r="L22" s="36">
        <f t="shared" si="7"/>
        <v>1.1560286107415368E-2</v>
      </c>
      <c r="M22" s="36">
        <f t="shared" si="7"/>
        <v>4.2165855403930178E-3</v>
      </c>
    </row>
    <row r="24" spans="2:13" x14ac:dyDescent="0.3">
      <c r="B24" s="40" t="s">
        <v>10</v>
      </c>
      <c r="C24" s="40">
        <f>IFERROR('Data Sheet'!B26,0)</f>
        <v>16710.78</v>
      </c>
      <c r="D24" s="40">
        <f>IFERROR('Data Sheet'!C26,0)</f>
        <v>17904.990000000002</v>
      </c>
      <c r="E24" s="40">
        <f>IFERROR('Data Sheet'!D26,0)</f>
        <v>21553.59</v>
      </c>
      <c r="F24" s="40">
        <f>IFERROR('Data Sheet'!E26,0)</f>
        <v>23590.63</v>
      </c>
      <c r="G24" s="40">
        <f>IFERROR('Data Sheet'!F26,0)</f>
        <v>21425.43</v>
      </c>
      <c r="H24" s="40">
        <f>IFERROR('Data Sheet'!G26,0)</f>
        <v>23546.71</v>
      </c>
      <c r="I24" s="40">
        <f>IFERROR('Data Sheet'!H26,0)</f>
        <v>24835.69</v>
      </c>
      <c r="J24" s="40">
        <f>IFERROR('Data Sheet'!I26,0)</f>
        <v>24860.36</v>
      </c>
      <c r="K24" s="40">
        <f>IFERROR('Data Sheet'!J26,0)</f>
        <v>27239</v>
      </c>
      <c r="L24" s="40">
        <f>IFERROR('Data Sheet'!K26,0)</f>
        <v>23256</v>
      </c>
      <c r="M24" s="40">
        <f>IFERROR(SUM('Data Sheet'!H45:K45),0)</f>
        <v>23273</v>
      </c>
    </row>
    <row r="25" spans="2:13" x14ac:dyDescent="0.3">
      <c r="B25" s="37" t="s">
        <v>106</v>
      </c>
      <c r="C25" s="36">
        <f t="shared" ref="C25:M25" si="8">C24/C6</f>
        <v>6.1201425695927715E-2</v>
      </c>
      <c r="D25" s="36">
        <f t="shared" si="8"/>
        <v>6.63903865924938E-2</v>
      </c>
      <c r="E25" s="36">
        <f t="shared" si="8"/>
        <v>7.3927472182518786E-2</v>
      </c>
      <c r="F25" s="36">
        <f t="shared" si="8"/>
        <v>7.8130605447998658E-2</v>
      </c>
      <c r="G25" s="36">
        <f t="shared" si="8"/>
        <v>8.206839774331566E-2</v>
      </c>
      <c r="H25" s="36">
        <f t="shared" si="8"/>
        <v>9.4264230933596482E-2</v>
      </c>
      <c r="I25" s="36">
        <f t="shared" si="8"/>
        <v>8.9191478279219347E-2</v>
      </c>
      <c r="J25" s="36">
        <f t="shared" si="8"/>
        <v>7.1857611147098821E-2</v>
      </c>
      <c r="K25" s="36">
        <f t="shared" si="8"/>
        <v>6.2760359065103591E-2</v>
      </c>
      <c r="L25" s="36">
        <f t="shared" si="8"/>
        <v>5.2891208678743216E-2</v>
      </c>
      <c r="M25" s="36">
        <f t="shared" si="8"/>
        <v>1.5534683438588997E-2</v>
      </c>
    </row>
    <row r="27" spans="2:13" x14ac:dyDescent="0.3">
      <c r="B27" s="55" t="s">
        <v>108</v>
      </c>
      <c r="C27" s="55">
        <f>IFERROR(C18-SUM(C21,C24),0)</f>
        <v>16795.38999999997</v>
      </c>
      <c r="D27" s="55">
        <f t="shared" ref="D27:M27" si="9">IFERROR(D18-SUM(D21,D24),0)</f>
        <v>7445.690000000046</v>
      </c>
      <c r="E27" s="55">
        <f t="shared" si="9"/>
        <v>5222.299999999992</v>
      </c>
      <c r="F27" s="55">
        <f t="shared" si="9"/>
        <v>-4684.8999999999796</v>
      </c>
      <c r="G27" s="55">
        <f t="shared" si="9"/>
        <v>-10681.690000000039</v>
      </c>
      <c r="H27" s="56">
        <f t="shared" si="9"/>
        <v>643.549999999992</v>
      </c>
      <c r="I27" s="55">
        <f t="shared" si="9"/>
        <v>-9427.4599999999882</v>
      </c>
      <c r="J27" s="55">
        <f t="shared" si="9"/>
        <v>-3270.0400000000373</v>
      </c>
      <c r="K27" s="55">
        <f t="shared" si="9"/>
        <v>22991</v>
      </c>
      <c r="L27" s="55">
        <f t="shared" si="9"/>
        <v>26877</v>
      </c>
      <c r="M27" s="55">
        <f t="shared" si="9"/>
        <v>1084117.5899999999</v>
      </c>
    </row>
    <row r="28" spans="2:13" x14ac:dyDescent="0.3">
      <c r="B28" s="37" t="s">
        <v>109</v>
      </c>
      <c r="C28" s="36">
        <f>C27/C6</f>
        <v>6.1511300676516931E-2</v>
      </c>
      <c r="D28" s="36">
        <f t="shared" ref="D28:M28" si="10">D27/D6</f>
        <v>2.7608071132565179E-2</v>
      </c>
      <c r="E28" s="36">
        <f t="shared" si="10"/>
        <v>1.7912163958707913E-2</v>
      </c>
      <c r="F28" s="36">
        <f t="shared" si="10"/>
        <v>-1.5516078776333117E-2</v>
      </c>
      <c r="G28" s="36">
        <f t="shared" si="10"/>
        <v>-4.0915360088026265E-2</v>
      </c>
      <c r="H28" s="36">
        <f t="shared" si="10"/>
        <v>2.5763151547420113E-3</v>
      </c>
      <c r="I28" s="36">
        <f t="shared" si="10"/>
        <v>-3.3856482095653805E-2</v>
      </c>
      <c r="J28" s="36">
        <f t="shared" si="10"/>
        <v>-9.4518849588445895E-3</v>
      </c>
      <c r="K28" s="36">
        <f t="shared" si="10"/>
        <v>5.2972701467227018E-2</v>
      </c>
      <c r="L28" s="36">
        <f t="shared" si="10"/>
        <v>6.1126462661617711E-2</v>
      </c>
      <c r="M28" s="36">
        <f t="shared" si="10"/>
        <v>0.72364643882851432</v>
      </c>
    </row>
    <row r="30" spans="2:13" x14ac:dyDescent="0.3">
      <c r="B30" s="40" t="s">
        <v>13</v>
      </c>
      <c r="C30" s="40">
        <f>IFERROR('Data Sheet'!B29,0)</f>
        <v>3025.05</v>
      </c>
      <c r="D30" s="40">
        <f>IFERROR('Data Sheet'!C29,0)</f>
        <v>3251.23</v>
      </c>
      <c r="E30" s="40">
        <f>IFERROR('Data Sheet'!D29,0)</f>
        <v>4341.93</v>
      </c>
      <c r="F30" s="40">
        <f>IFERROR('Data Sheet'!E29,0)</f>
        <v>-2437.4499999999998</v>
      </c>
      <c r="G30" s="40">
        <f>IFERROR('Data Sheet'!F29,0)</f>
        <v>395.25</v>
      </c>
      <c r="H30" s="40">
        <f>IFERROR('Data Sheet'!G29,0)</f>
        <v>2541.86</v>
      </c>
      <c r="I30" s="40">
        <f>IFERROR('Data Sheet'!H29,0)</f>
        <v>4231.29</v>
      </c>
      <c r="J30" s="40">
        <f>IFERROR('Data Sheet'!I29,0)</f>
        <v>704.06</v>
      </c>
      <c r="K30" s="40">
        <f>IFERROR('Data Sheet'!J29,0)</f>
        <v>-4024</v>
      </c>
      <c r="L30" s="40">
        <f>IFERROR('Data Sheet'!K29,0)</f>
        <v>10502</v>
      </c>
      <c r="M30" s="40">
        <f>IFERROR(SUM('Data Sheet'!H48:K48),0)</f>
        <v>10563</v>
      </c>
    </row>
    <row r="31" spans="2:13" x14ac:dyDescent="0.3">
      <c r="B31" s="37" t="s">
        <v>110</v>
      </c>
      <c r="C31" s="36">
        <f>C30/C27</f>
        <v>0.18011192356950362</v>
      </c>
      <c r="D31" s="36">
        <f t="shared" ref="D31:M31" si="11">D30/D27</f>
        <v>0.43665932908836924</v>
      </c>
      <c r="E31" s="36">
        <f t="shared" si="11"/>
        <v>0.8314210213890445</v>
      </c>
      <c r="F31" s="36">
        <f t="shared" si="11"/>
        <v>0.52027791414971725</v>
      </c>
      <c r="G31" s="36">
        <f t="shared" si="11"/>
        <v>-3.7002571690434617E-2</v>
      </c>
      <c r="H31" s="36">
        <f t="shared" si="11"/>
        <v>3.9497474943672315</v>
      </c>
      <c r="I31" s="36">
        <f t="shared" si="11"/>
        <v>-0.4488260888935095</v>
      </c>
      <c r="J31" s="36">
        <f t="shared" si="11"/>
        <v>-0.21530623478611635</v>
      </c>
      <c r="K31" s="36">
        <f t="shared" si="11"/>
        <v>-0.17502500978643817</v>
      </c>
      <c r="L31" s="36">
        <f t="shared" si="11"/>
        <v>0.39074301447334153</v>
      </c>
      <c r="M31" s="36">
        <f t="shared" si="11"/>
        <v>9.7434080006025929E-3</v>
      </c>
    </row>
    <row r="33" spans="1:13" x14ac:dyDescent="0.3">
      <c r="B33" s="55" t="s">
        <v>111</v>
      </c>
      <c r="C33" s="55">
        <f>C27-C30</f>
        <v>13770.339999999971</v>
      </c>
      <c r="D33" s="55">
        <f t="shared" ref="D33:M33" si="12">D27-D30</f>
        <v>4194.4600000000464</v>
      </c>
      <c r="E33" s="55">
        <f t="shared" si="12"/>
        <v>880.36999999999171</v>
      </c>
      <c r="F33" s="55">
        <f t="shared" si="12"/>
        <v>-2247.4499999999798</v>
      </c>
      <c r="G33" s="55">
        <f t="shared" si="12"/>
        <v>-11076.940000000039</v>
      </c>
      <c r="H33" s="55">
        <f t="shared" si="12"/>
        <v>-1898.3100000000081</v>
      </c>
      <c r="I33" s="55">
        <f t="shared" si="12"/>
        <v>-13658.749999999989</v>
      </c>
      <c r="J33" s="55">
        <f t="shared" si="12"/>
        <v>-3974.1000000000372</v>
      </c>
      <c r="K33" s="55">
        <f t="shared" si="12"/>
        <v>27015</v>
      </c>
      <c r="L33" s="55">
        <f t="shared" si="12"/>
        <v>16375</v>
      </c>
      <c r="M33" s="55">
        <f t="shared" si="12"/>
        <v>1073554.5899999999</v>
      </c>
    </row>
    <row r="34" spans="1:13" x14ac:dyDescent="0.3">
      <c r="B34" s="37" t="s">
        <v>112</v>
      </c>
      <c r="C34" s="36">
        <f>C33/C6</f>
        <v>5.0432381990407359E-2</v>
      </c>
      <c r="D34" s="36">
        <f t="shared" ref="D34:M34" si="13">D33/D6</f>
        <v>1.5552749314395296E-2</v>
      </c>
      <c r="E34" s="36">
        <f t="shared" si="13"/>
        <v>3.01961430487095E-3</v>
      </c>
      <c r="F34" s="36">
        <f t="shared" si="13"/>
        <v>-7.4434056747998256E-3</v>
      </c>
      <c r="G34" s="36">
        <f t="shared" si="13"/>
        <v>-4.2429333632923408E-2</v>
      </c>
      <c r="H34" s="36">
        <f t="shared" si="13"/>
        <v>-7.5994791724005731E-3</v>
      </c>
      <c r="I34" s="36">
        <f t="shared" si="13"/>
        <v>-4.9052154538339235E-2</v>
      </c>
      <c r="J34" s="36">
        <f t="shared" si="13"/>
        <v>-1.1486934720964945E-2</v>
      </c>
      <c r="K34" s="36">
        <f t="shared" si="13"/>
        <v>6.224424905994249E-2</v>
      </c>
      <c r="L34" s="36">
        <f t="shared" si="13"/>
        <v>3.724172437712505E-2</v>
      </c>
      <c r="M34" s="36">
        <f t="shared" si="13"/>
        <v>0.71659565632682509</v>
      </c>
    </row>
    <row r="36" spans="1:13" x14ac:dyDescent="0.3">
      <c r="B36" s="40" t="s">
        <v>74</v>
      </c>
      <c r="C36" s="40">
        <f>IFERROR('Data Sheet'!B93,0)</f>
        <v>288.72000000000003</v>
      </c>
      <c r="D36" s="40">
        <f>IFERROR('Data Sheet'!C93,0)</f>
        <v>288.73</v>
      </c>
      <c r="E36" s="40">
        <f>IFERROR('Data Sheet'!D93,0)</f>
        <v>288.73</v>
      </c>
      <c r="F36" s="40">
        <f>IFERROR('Data Sheet'!E93,0)</f>
        <v>288.73</v>
      </c>
      <c r="G36" s="40">
        <f>IFERROR('Data Sheet'!F93,0)</f>
        <v>308.89999999999998</v>
      </c>
      <c r="H36" s="40">
        <f>IFERROR('Data Sheet'!G93,0)</f>
        <v>332.03</v>
      </c>
      <c r="I36" s="40">
        <f>IFERROR('Data Sheet'!H93,0)</f>
        <v>332.07</v>
      </c>
      <c r="J36" s="40">
        <f>IFERROR('Data Sheet'!I93,0)</f>
        <v>332.13</v>
      </c>
      <c r="K36" s="40">
        <f>IFERROR('Data Sheet'!J93,0)</f>
        <v>332.37</v>
      </c>
      <c r="L36" s="40">
        <f>IFERROR('Data Sheet'!K93,0)</f>
        <v>368.13</v>
      </c>
      <c r="M36" s="40">
        <f>IFERROR('Data Sheet'!L93,0)</f>
        <v>0</v>
      </c>
    </row>
    <row r="38" spans="1:13" x14ac:dyDescent="0.3">
      <c r="B38" s="40" t="s">
        <v>113</v>
      </c>
      <c r="C38" s="40">
        <f>IFERROR(C33/C36,0)</f>
        <v>47.694444444444336</v>
      </c>
      <c r="D38" s="40">
        <f t="shared" ref="D38:M38" si="14">IFERROR(D33/D36,0)</f>
        <v>14.527274616423808</v>
      </c>
      <c r="E38" s="40">
        <f t="shared" si="14"/>
        <v>3.049111626779315</v>
      </c>
      <c r="F38" s="40">
        <f t="shared" si="14"/>
        <v>-7.7839157690575265</v>
      </c>
      <c r="G38" s="40">
        <f t="shared" si="14"/>
        <v>-35.859307219164904</v>
      </c>
      <c r="H38" s="40">
        <f t="shared" si="14"/>
        <v>-5.7172845827184542</v>
      </c>
      <c r="I38" s="40">
        <f t="shared" si="14"/>
        <v>-41.132140813683833</v>
      </c>
      <c r="J38" s="40">
        <f t="shared" si="14"/>
        <v>-11.965495438533218</v>
      </c>
      <c r="K38" s="40">
        <f t="shared" si="14"/>
        <v>81.279898907843673</v>
      </c>
      <c r="L38" s="40">
        <f t="shared" si="14"/>
        <v>44.481569010947219</v>
      </c>
      <c r="M38" s="40">
        <f t="shared" si="14"/>
        <v>0</v>
      </c>
    </row>
    <row r="39" spans="1:13" x14ac:dyDescent="0.3">
      <c r="B39" s="37" t="s">
        <v>116</v>
      </c>
      <c r="C39" s="36">
        <f>IFERROR(C38/B38-1,0)</f>
        <v>0</v>
      </c>
      <c r="D39" s="36">
        <f t="shared" ref="D39:M39" si="15">IFERROR(D38/C38-1,0)</f>
        <v>-0.69540950134463697</v>
      </c>
      <c r="E39" s="36">
        <f t="shared" si="15"/>
        <v>-0.79011124197155724</v>
      </c>
      <c r="F39" s="36">
        <f t="shared" si="15"/>
        <v>-3.5528470983790919</v>
      </c>
      <c r="G39" s="36">
        <f t="shared" si="15"/>
        <v>3.6068467700681115</v>
      </c>
      <c r="H39" s="36">
        <f t="shared" si="15"/>
        <v>-0.84056344011958861</v>
      </c>
      <c r="I39" s="36">
        <f t="shared" si="15"/>
        <v>6.194349033807641</v>
      </c>
      <c r="J39" s="36">
        <f t="shared" si="15"/>
        <v>-0.70909621522659627</v>
      </c>
      <c r="K39" s="36">
        <f t="shared" si="15"/>
        <v>-7.7928569548481077</v>
      </c>
      <c r="L39" s="36">
        <f t="shared" si="15"/>
        <v>-0.45273592107464278</v>
      </c>
      <c r="M39" s="36">
        <f t="shared" si="15"/>
        <v>-1</v>
      </c>
    </row>
    <row r="41" spans="1:13" x14ac:dyDescent="0.3">
      <c r="B41" s="40" t="s">
        <v>114</v>
      </c>
      <c r="C41" s="40">
        <f>IFERROR('Data Sheet'!B31,0)</f>
        <v>67.92</v>
      </c>
      <c r="D41" s="40">
        <f>IFERROR('Data Sheet'!C31,0)</f>
        <v>0</v>
      </c>
      <c r="E41" s="40">
        <f>IFERROR('Data Sheet'!D31,0)</f>
        <v>0</v>
      </c>
      <c r="F41" s="40">
        <f>IFERROR('Data Sheet'!E31,0)</f>
        <v>0</v>
      </c>
      <c r="G41" s="40">
        <f>IFERROR('Data Sheet'!F31,0)</f>
        <v>0</v>
      </c>
      <c r="H41" s="40">
        <f>IFERROR('Data Sheet'!G31,0)</f>
        <v>0</v>
      </c>
      <c r="I41" s="40">
        <f>IFERROR('Data Sheet'!H31,0)</f>
        <v>0</v>
      </c>
      <c r="J41" s="40">
        <f>IFERROR('Data Sheet'!I31,0)</f>
        <v>766.02</v>
      </c>
      <c r="K41" s="40">
        <f>IFERROR('Data Sheet'!J31,0)</f>
        <v>2301</v>
      </c>
      <c r="L41" s="40">
        <f>IFERROR('Data Sheet'!K31,0)</f>
        <v>2208</v>
      </c>
      <c r="M41" s="40">
        <f>IFERROR('Data Sheet'!L31,0)</f>
        <v>0</v>
      </c>
    </row>
    <row r="42" spans="1:13" x14ac:dyDescent="0.3">
      <c r="B42" s="37" t="s">
        <v>115</v>
      </c>
      <c r="C42" s="36">
        <f t="shared" ref="C42:M42" si="16">IFERROR(C41/C36,0)</f>
        <v>0.23524522028262676</v>
      </c>
      <c r="D42" s="36">
        <f t="shared" si="16"/>
        <v>0</v>
      </c>
      <c r="E42" s="36">
        <f t="shared" si="16"/>
        <v>0</v>
      </c>
      <c r="F42" s="36">
        <f t="shared" si="16"/>
        <v>0</v>
      </c>
      <c r="G42" s="36">
        <f t="shared" si="16"/>
        <v>0</v>
      </c>
      <c r="H42" s="36">
        <f t="shared" si="16"/>
        <v>0</v>
      </c>
      <c r="I42" s="36">
        <f t="shared" si="16"/>
        <v>0</v>
      </c>
      <c r="J42" s="36">
        <f t="shared" si="16"/>
        <v>2.3063860536536898</v>
      </c>
      <c r="K42" s="36">
        <f t="shared" si="16"/>
        <v>6.9230074916508713</v>
      </c>
      <c r="L42" s="36">
        <f t="shared" si="16"/>
        <v>5.9978811832776469</v>
      </c>
      <c r="M42" s="36">
        <f t="shared" si="16"/>
        <v>0</v>
      </c>
    </row>
    <row r="44" spans="1:13" x14ac:dyDescent="0.3">
      <c r="B44" s="40" t="s">
        <v>117</v>
      </c>
      <c r="C44" s="44">
        <f>IFERROR(1-C42,0)</f>
        <v>0.76475477971737327</v>
      </c>
      <c r="D44" s="44">
        <f t="shared" ref="D44:M44" si="17">IFERROR(1-D42,0)</f>
        <v>1</v>
      </c>
      <c r="E44" s="44">
        <f t="shared" si="17"/>
        <v>1</v>
      </c>
      <c r="F44" s="44">
        <f t="shared" si="17"/>
        <v>1</v>
      </c>
      <c r="G44" s="44">
        <f t="shared" si="17"/>
        <v>1</v>
      </c>
      <c r="H44" s="44">
        <f t="shared" si="17"/>
        <v>1</v>
      </c>
      <c r="I44" s="44">
        <f t="shared" si="17"/>
        <v>1</v>
      </c>
      <c r="J44" s="44">
        <f t="shared" si="17"/>
        <v>-1.3063860536536898</v>
      </c>
      <c r="K44" s="44">
        <f t="shared" si="17"/>
        <v>-5.9230074916508713</v>
      </c>
      <c r="L44" s="44">
        <f t="shared" si="17"/>
        <v>-4.9978811832776469</v>
      </c>
      <c r="M44" s="44">
        <f t="shared" si="17"/>
        <v>1</v>
      </c>
    </row>
    <row r="46" spans="1:13" x14ac:dyDescent="0.3">
      <c r="A46" s="42" t="s">
        <v>156</v>
      </c>
      <c r="B46" s="42" t="s">
        <v>40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3" x14ac:dyDescent="0.3">
      <c r="B47" t="s">
        <v>24</v>
      </c>
      <c r="C47" s="49">
        <f>IFERROR('Data Sheet'!B57,0)</f>
        <v>679.18</v>
      </c>
      <c r="D47" s="49">
        <f>IFERROR('Data Sheet'!C57,0)</f>
        <v>679.22</v>
      </c>
      <c r="E47" s="49">
        <f>IFERROR('Data Sheet'!D57,0)</f>
        <v>679.22</v>
      </c>
      <c r="F47" s="49">
        <f>IFERROR('Data Sheet'!E57,0)</f>
        <v>679.22</v>
      </c>
      <c r="G47" s="49">
        <f>IFERROR('Data Sheet'!F57,0)</f>
        <v>719.54</v>
      </c>
      <c r="H47" s="49">
        <f>IFERROR('Data Sheet'!G57,0)</f>
        <v>765.81</v>
      </c>
      <c r="I47" s="49">
        <f>IFERROR('Data Sheet'!H57,0)</f>
        <v>765.88</v>
      </c>
      <c r="J47" s="49">
        <f>IFERROR('Data Sheet'!I57,0)</f>
        <v>766.02</v>
      </c>
      <c r="K47" s="49">
        <f>IFERROR('Data Sheet'!J57,0)</f>
        <v>767</v>
      </c>
      <c r="L47" s="49">
        <f>IFERROR('Data Sheet'!K57,0)</f>
        <v>736</v>
      </c>
      <c r="M47" s="49">
        <f>IFERROR('Data Sheet'!L57,0)</f>
        <v>0</v>
      </c>
    </row>
    <row r="48" spans="1:13" x14ac:dyDescent="0.3">
      <c r="B48" t="s">
        <v>25</v>
      </c>
      <c r="C48" s="49">
        <f>IFERROR('Data Sheet'!B58,0)</f>
        <v>78273.23</v>
      </c>
      <c r="D48" s="49">
        <f>IFERROR('Data Sheet'!C58,0)</f>
        <v>57382.67</v>
      </c>
      <c r="E48" s="49">
        <f>IFERROR('Data Sheet'!D58,0)</f>
        <v>94748.69</v>
      </c>
      <c r="F48" s="49">
        <f>IFERROR('Data Sheet'!E58,0)</f>
        <v>59500.34</v>
      </c>
      <c r="G48" s="49">
        <f>IFERROR('Data Sheet'!F58,0)</f>
        <v>62358.99</v>
      </c>
      <c r="H48" s="49">
        <f>IFERROR('Data Sheet'!G58,0)</f>
        <v>54480.91</v>
      </c>
      <c r="I48" s="49">
        <f>IFERROR('Data Sheet'!H58,0)</f>
        <v>43795.360000000001</v>
      </c>
      <c r="J48" s="49">
        <f>IFERROR('Data Sheet'!I58,0)</f>
        <v>44555.77</v>
      </c>
      <c r="K48" s="49">
        <f>IFERROR('Data Sheet'!J58,0)</f>
        <v>84151</v>
      </c>
      <c r="L48" s="49">
        <f>IFERROR('Data Sheet'!K58,0)</f>
        <v>115408</v>
      </c>
      <c r="M48" s="49">
        <f>IFERROR('Data Sheet'!L58,0)</f>
        <v>0</v>
      </c>
    </row>
    <row r="49" spans="2:13" x14ac:dyDescent="0.3">
      <c r="B49" t="s">
        <v>118</v>
      </c>
      <c r="C49" s="49">
        <f>IFERROR('Data Sheet'!B59,0)</f>
        <v>69359.960000000006</v>
      </c>
      <c r="D49" s="49">
        <f>IFERROR('Data Sheet'!C59,0)</f>
        <v>78603.98</v>
      </c>
      <c r="E49" s="49">
        <f>IFERROR('Data Sheet'!D59,0)</f>
        <v>88950.47</v>
      </c>
      <c r="F49" s="49">
        <f>IFERROR('Data Sheet'!E59,0)</f>
        <v>106175.34</v>
      </c>
      <c r="G49" s="49">
        <f>IFERROR('Data Sheet'!F59,0)</f>
        <v>124787.64</v>
      </c>
      <c r="H49" s="49">
        <f>IFERROR('Data Sheet'!G59,0)</f>
        <v>142130.57</v>
      </c>
      <c r="I49" s="49">
        <f>IFERROR('Data Sheet'!H59,0)</f>
        <v>146449.03</v>
      </c>
      <c r="J49" s="49">
        <f>IFERROR('Data Sheet'!I59,0)</f>
        <v>134113.44</v>
      </c>
      <c r="K49" s="49">
        <f>IFERROR('Data Sheet'!J59,0)</f>
        <v>107264</v>
      </c>
      <c r="L49" s="49">
        <f>IFERROR('Data Sheet'!K59,0)</f>
        <v>71540</v>
      </c>
      <c r="M49" s="49">
        <f>IFERROR('Data Sheet'!L59,0)</f>
        <v>0</v>
      </c>
    </row>
    <row r="50" spans="2:13" x14ac:dyDescent="0.3">
      <c r="B50" t="s">
        <v>72</v>
      </c>
      <c r="C50" s="49">
        <f>IFERROR('Data Sheet'!B60,0)</f>
        <v>114871.75</v>
      </c>
      <c r="D50" s="49">
        <f>IFERROR('Data Sheet'!C60,0)</f>
        <v>135914.49</v>
      </c>
      <c r="E50" s="49">
        <f>IFERROR('Data Sheet'!D60,0)</f>
        <v>142813.43</v>
      </c>
      <c r="F50" s="49">
        <f>IFERROR('Data Sheet'!E60,0)</f>
        <v>139348.59</v>
      </c>
      <c r="G50" s="49">
        <f>IFERROR('Data Sheet'!F60,0)</f>
        <v>132313.22</v>
      </c>
      <c r="H50" s="49">
        <f>IFERROR('Data Sheet'!G60,0)</f>
        <v>144192.62</v>
      </c>
      <c r="I50" s="49">
        <f>IFERROR('Data Sheet'!H60,0)</f>
        <v>138051.22</v>
      </c>
      <c r="J50" s="49">
        <f>IFERROR('Data Sheet'!I60,0)</f>
        <v>155239.20000000001</v>
      </c>
      <c r="K50" s="49">
        <f>IFERROR('Data Sheet'!J60,0)</f>
        <v>177339</v>
      </c>
      <c r="L50" s="49">
        <f>IFERROR('Data Sheet'!K60,0)</f>
        <v>189289</v>
      </c>
      <c r="M50" s="49">
        <f>IFERROR('Data Sheet'!L60,0)</f>
        <v>0</v>
      </c>
    </row>
    <row r="51" spans="2:13" x14ac:dyDescent="0.3">
      <c r="B51" s="54" t="s">
        <v>119</v>
      </c>
      <c r="C51" s="55">
        <f>IFERROR('Data Sheet'!B61,0)</f>
        <v>263184.12</v>
      </c>
      <c r="D51" s="55">
        <f>IFERROR('Data Sheet'!C61,0)</f>
        <v>272580.36</v>
      </c>
      <c r="E51" s="55">
        <f>IFERROR('Data Sheet'!D61,0)</f>
        <v>327191.81</v>
      </c>
      <c r="F51" s="55">
        <f>IFERROR('Data Sheet'!E61,0)</f>
        <v>305703.49</v>
      </c>
      <c r="G51" s="55">
        <f>IFERROR('Data Sheet'!F61,0)</f>
        <v>320179.39</v>
      </c>
      <c r="H51" s="55">
        <f>IFERROR('Data Sheet'!G61,0)</f>
        <v>341569.91</v>
      </c>
      <c r="I51" s="55">
        <f>IFERROR('Data Sheet'!H61,0)</f>
        <v>329061.49</v>
      </c>
      <c r="J51" s="55">
        <f>IFERROR('Data Sheet'!I61,0)</f>
        <v>334674.43</v>
      </c>
      <c r="K51" s="55">
        <f>IFERROR('Data Sheet'!J61,0)</f>
        <v>369521</v>
      </c>
      <c r="L51" s="55">
        <f>IFERROR('Data Sheet'!K61,0)</f>
        <v>376973</v>
      </c>
      <c r="M51" s="49">
        <f>IFERROR('Data Sheet'!L61,0)</f>
        <v>0</v>
      </c>
    </row>
    <row r="52" spans="2:13" x14ac:dyDescent="0.3"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2:13" x14ac:dyDescent="0.3">
      <c r="B53" t="s">
        <v>120</v>
      </c>
      <c r="C53" s="49">
        <f>IFERROR('Data Sheet'!B62,0)</f>
        <v>107231.76</v>
      </c>
      <c r="D53" s="49">
        <f>IFERROR('Data Sheet'!C62,0)</f>
        <v>95944.08</v>
      </c>
      <c r="E53" s="49">
        <f>IFERROR('Data Sheet'!D62,0)</f>
        <v>121413.86</v>
      </c>
      <c r="F53" s="49">
        <f>IFERROR('Data Sheet'!E62,0)</f>
        <v>111234.47</v>
      </c>
      <c r="G53" s="49">
        <f>IFERROR('Data Sheet'!F62,0)</f>
        <v>127107.14</v>
      </c>
      <c r="H53" s="49">
        <f>IFERROR('Data Sheet'!G62,0)</f>
        <v>138707.60999999999</v>
      </c>
      <c r="I53" s="49">
        <f>IFERROR('Data Sheet'!H62,0)</f>
        <v>138855.45000000001</v>
      </c>
      <c r="J53" s="49">
        <f>IFERROR('Data Sheet'!I62,0)</f>
        <v>132079.76</v>
      </c>
      <c r="K53" s="49">
        <f>IFERROR('Data Sheet'!J62,0)</f>
        <v>121285</v>
      </c>
      <c r="L53" s="49">
        <f>IFERROR('Data Sheet'!K62,0)</f>
        <v>115697</v>
      </c>
      <c r="M53" s="49">
        <f>IFERROR('Data Sheet'!L62,0)</f>
        <v>0</v>
      </c>
    </row>
    <row r="54" spans="2:13" x14ac:dyDescent="0.3">
      <c r="B54" t="s">
        <v>121</v>
      </c>
      <c r="C54" s="49">
        <f>IFERROR('Data Sheet'!B63,0)</f>
        <v>25918.94</v>
      </c>
      <c r="D54" s="49">
        <f>IFERROR('Data Sheet'!C63,0)</f>
        <v>33698.839999999997</v>
      </c>
      <c r="E54" s="49">
        <f>IFERROR('Data Sheet'!D63,0)</f>
        <v>40033.5</v>
      </c>
      <c r="F54" s="49">
        <f>IFERROR('Data Sheet'!E63,0)</f>
        <v>31883.84</v>
      </c>
      <c r="G54" s="49">
        <f>IFERROR('Data Sheet'!F63,0)</f>
        <v>35622.29</v>
      </c>
      <c r="H54" s="49">
        <f>IFERROR('Data Sheet'!G63,0)</f>
        <v>20963.93</v>
      </c>
      <c r="I54" s="49">
        <f>IFERROR('Data Sheet'!H63,0)</f>
        <v>10251.09</v>
      </c>
      <c r="J54" s="49">
        <f>IFERROR('Data Sheet'!I63,0)</f>
        <v>14274.5</v>
      </c>
      <c r="K54" s="49">
        <f>IFERROR('Data Sheet'!J63,0)</f>
        <v>35698</v>
      </c>
      <c r="L54" s="49">
        <f>IFERROR('Data Sheet'!K63,0)</f>
        <v>65806</v>
      </c>
      <c r="M54" s="49">
        <f>IFERROR('Data Sheet'!L63,0)</f>
        <v>0</v>
      </c>
    </row>
    <row r="55" spans="2:13" x14ac:dyDescent="0.3">
      <c r="B55" t="s">
        <v>29</v>
      </c>
      <c r="C55" s="49">
        <f>IFERROR('Data Sheet'!B64,0)</f>
        <v>23767.02</v>
      </c>
      <c r="D55" s="49">
        <f>IFERROR('Data Sheet'!C64,0)</f>
        <v>20337.919999999998</v>
      </c>
      <c r="E55" s="49">
        <f>IFERROR('Data Sheet'!D64,0)</f>
        <v>20812.75</v>
      </c>
      <c r="F55" s="49">
        <f>IFERROR('Data Sheet'!E64,0)</f>
        <v>15770.72</v>
      </c>
      <c r="G55" s="49">
        <f>IFERROR('Data Sheet'!F64,0)</f>
        <v>16308.48</v>
      </c>
      <c r="H55" s="49">
        <f>IFERROR('Data Sheet'!G64,0)</f>
        <v>24620.28</v>
      </c>
      <c r="I55" s="49">
        <f>IFERROR('Data Sheet'!H64,0)</f>
        <v>29379.53</v>
      </c>
      <c r="J55" s="49">
        <f>IFERROR('Data Sheet'!I64,0)</f>
        <v>26379.16</v>
      </c>
      <c r="K55" s="49">
        <f>IFERROR('Data Sheet'!J64,0)</f>
        <v>22971</v>
      </c>
      <c r="L55" s="49">
        <f>IFERROR('Data Sheet'!K64,0)</f>
        <v>35656</v>
      </c>
      <c r="M55" s="49">
        <f>IFERROR('Data Sheet'!L64,0)</f>
        <v>0</v>
      </c>
    </row>
    <row r="56" spans="2:13" x14ac:dyDescent="0.3">
      <c r="B56" t="s">
        <v>73</v>
      </c>
      <c r="C56" s="49">
        <f>IFERROR('Data Sheet'!B65-SUM('Data Sheet'!B67:B69),0)</f>
        <v>29579.359999999986</v>
      </c>
      <c r="D56" s="49">
        <f>IFERROR('Data Sheet'!C65-SUM('Data Sheet'!C67:C69),0)</f>
        <v>37360.780000000013</v>
      </c>
      <c r="E56" s="49">
        <f>IFERROR('Data Sheet'!D65-SUM('Data Sheet'!D67:D69),0)</f>
        <v>48286.860000000015</v>
      </c>
      <c r="F56" s="49">
        <f>IFERROR('Data Sheet'!E65-SUM('Data Sheet'!E67:E69),0)</f>
        <v>56155.739999999991</v>
      </c>
      <c r="G56" s="49">
        <f>IFERROR('Data Sheet'!F65-SUM('Data Sheet'!F67:F69),0)</f>
        <v>58784.94</v>
      </c>
      <c r="H56" s="49">
        <f>IFERROR('Data Sheet'!G65-SUM('Data Sheet'!G67:G69),0)</f>
        <v>61717.959999999992</v>
      </c>
      <c r="I56" s="49">
        <f>IFERROR('Data Sheet'!H65-SUM('Data Sheet'!H67:H69),0)</f>
        <v>62223.770000000019</v>
      </c>
      <c r="J56" s="49">
        <f>IFERROR('Data Sheet'!I65-SUM('Data Sheet'!I67:I69),0)</f>
        <v>68432.090000000011</v>
      </c>
      <c r="K56" s="49">
        <f>IFERROR('Data Sheet'!J65-SUM('Data Sheet'!J67:J69),0)</f>
        <v>79020</v>
      </c>
      <c r="L56" s="49">
        <f>IFERROR('Data Sheet'!K65-SUM('Data Sheet'!K67:K69),0)</f>
        <v>58463</v>
      </c>
      <c r="M56" s="49">
        <f>IFERROR('Data Sheet'!L65,0)</f>
        <v>0</v>
      </c>
    </row>
    <row r="57" spans="2:13" x14ac:dyDescent="0.3">
      <c r="B57" s="54" t="s">
        <v>122</v>
      </c>
      <c r="C57" s="55">
        <f>IFERROR(SUM(C53:C56),0)</f>
        <v>186497.07999999996</v>
      </c>
      <c r="D57" s="55">
        <f t="shared" ref="D57:M57" si="18">IFERROR(SUM(D53:D56),0)</f>
        <v>187341.62</v>
      </c>
      <c r="E57" s="55">
        <f t="shared" si="18"/>
        <v>230546.97</v>
      </c>
      <c r="F57" s="55">
        <f t="shared" si="18"/>
        <v>215044.77</v>
      </c>
      <c r="G57" s="55">
        <f t="shared" si="18"/>
        <v>237822.85</v>
      </c>
      <c r="H57" s="55">
        <f t="shared" si="18"/>
        <v>246009.77999999997</v>
      </c>
      <c r="I57" s="55">
        <f t="shared" si="18"/>
        <v>240709.84000000003</v>
      </c>
      <c r="J57" s="55">
        <f t="shared" si="18"/>
        <v>241165.51</v>
      </c>
      <c r="K57" s="55">
        <f t="shared" si="18"/>
        <v>258974</v>
      </c>
      <c r="L57" s="55">
        <f t="shared" si="18"/>
        <v>275622</v>
      </c>
      <c r="M57" s="49">
        <f t="shared" si="18"/>
        <v>0</v>
      </c>
    </row>
    <row r="58" spans="2:13" x14ac:dyDescent="0.3"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2:13" x14ac:dyDescent="0.3">
      <c r="B59" t="s">
        <v>78</v>
      </c>
      <c r="C59" s="49">
        <f>IFERROR('Data Sheet'!B67,0)</f>
        <v>13570.91</v>
      </c>
      <c r="D59" s="49">
        <f>IFERROR('Data Sheet'!C67,0)</f>
        <v>14075.55</v>
      </c>
      <c r="E59" s="49">
        <f>IFERROR('Data Sheet'!D67,0)</f>
        <v>19893.3</v>
      </c>
      <c r="F59" s="49">
        <f>IFERROR('Data Sheet'!E67,0)</f>
        <v>18996.169999999998</v>
      </c>
      <c r="G59" s="49">
        <f>IFERROR('Data Sheet'!F67,0)</f>
        <v>11172.69</v>
      </c>
      <c r="H59" s="49">
        <f>IFERROR('Data Sheet'!G67,0)</f>
        <v>12679.08</v>
      </c>
      <c r="I59" s="49">
        <f>IFERROR('Data Sheet'!H67,0)</f>
        <v>12442.12</v>
      </c>
      <c r="J59" s="49">
        <f>IFERROR('Data Sheet'!I67,0)</f>
        <v>15737.97</v>
      </c>
      <c r="K59" s="49">
        <f>IFERROR('Data Sheet'!J67,0)</f>
        <v>16952</v>
      </c>
      <c r="L59" s="49">
        <f>IFERROR('Data Sheet'!K67,0)</f>
        <v>13248</v>
      </c>
      <c r="M59" s="49">
        <f>IFERROR('Data Sheet'!L67,0)</f>
        <v>0</v>
      </c>
    </row>
    <row r="60" spans="2:13" x14ac:dyDescent="0.3">
      <c r="B60" t="s">
        <v>45</v>
      </c>
      <c r="C60" s="49">
        <f>IFERROR('Data Sheet'!B68,0)</f>
        <v>32655.73</v>
      </c>
      <c r="D60" s="49">
        <f>IFERROR('Data Sheet'!C68,0)</f>
        <v>35085.31</v>
      </c>
      <c r="E60" s="49">
        <f>IFERROR('Data Sheet'!D68,0)</f>
        <v>42137.63</v>
      </c>
      <c r="F60" s="49">
        <f>IFERROR('Data Sheet'!E68,0)</f>
        <v>39013.730000000003</v>
      </c>
      <c r="G60" s="49">
        <f>IFERROR('Data Sheet'!F68,0)</f>
        <v>37456.879999999997</v>
      </c>
      <c r="H60" s="49">
        <f>IFERROR('Data Sheet'!G68,0)</f>
        <v>36088.589999999997</v>
      </c>
      <c r="I60" s="49">
        <f>IFERROR('Data Sheet'!H68,0)</f>
        <v>35240.339999999997</v>
      </c>
      <c r="J60" s="49">
        <f>IFERROR('Data Sheet'!I68,0)</f>
        <v>40755.39</v>
      </c>
      <c r="K60" s="49">
        <f>IFERROR('Data Sheet'!J68,0)</f>
        <v>47788</v>
      </c>
      <c r="L60" s="49">
        <f>IFERROR('Data Sheet'!K68,0)</f>
        <v>47269</v>
      </c>
      <c r="M60" s="49">
        <f>IFERROR('Data Sheet'!L68,0)</f>
        <v>0</v>
      </c>
    </row>
    <row r="61" spans="2:13" x14ac:dyDescent="0.3">
      <c r="B61" t="s">
        <v>125</v>
      </c>
      <c r="C61" s="49">
        <f>IFERROR('Data Sheet'!B69,0)</f>
        <v>30460.400000000001</v>
      </c>
      <c r="D61" s="49">
        <f>IFERROR('Data Sheet'!C69,0)</f>
        <v>36077.879999999997</v>
      </c>
      <c r="E61" s="49">
        <f>IFERROR('Data Sheet'!D69,0)</f>
        <v>34613.910000000003</v>
      </c>
      <c r="F61" s="49">
        <f>IFERROR('Data Sheet'!E69,0)</f>
        <v>32648.82</v>
      </c>
      <c r="G61" s="49">
        <f>IFERROR('Data Sheet'!F69,0)</f>
        <v>33726.97</v>
      </c>
      <c r="H61" s="49">
        <f>IFERROR('Data Sheet'!G69,0)</f>
        <v>46792.46</v>
      </c>
      <c r="I61" s="49">
        <f>IFERROR('Data Sheet'!H69,0)</f>
        <v>40669.19</v>
      </c>
      <c r="J61" s="49">
        <f>IFERROR('Data Sheet'!I69,0)</f>
        <v>37015.56</v>
      </c>
      <c r="K61" s="49">
        <f>IFERROR('Data Sheet'!J69,0)</f>
        <v>45807</v>
      </c>
      <c r="L61" s="49">
        <f>IFERROR('Data Sheet'!K69,0)</f>
        <v>40834</v>
      </c>
      <c r="M61" s="49">
        <f>IFERROR('Data Sheet'!L69,0)</f>
        <v>0</v>
      </c>
    </row>
    <row r="62" spans="2:13" x14ac:dyDescent="0.3">
      <c r="B62" s="54" t="s">
        <v>123</v>
      </c>
      <c r="C62" s="55">
        <f>IFERROR(SUM(C59:C61),0)</f>
        <v>76687.040000000008</v>
      </c>
      <c r="D62" s="55">
        <f t="shared" ref="D62:M62" si="19">IFERROR(SUM(D59:D61),0)</f>
        <v>85238.739999999991</v>
      </c>
      <c r="E62" s="55">
        <f t="shared" si="19"/>
        <v>96644.84</v>
      </c>
      <c r="F62" s="55">
        <f t="shared" si="19"/>
        <v>90658.72</v>
      </c>
      <c r="G62" s="55">
        <f t="shared" si="19"/>
        <v>82356.540000000008</v>
      </c>
      <c r="H62" s="55">
        <f t="shared" si="19"/>
        <v>95560.13</v>
      </c>
      <c r="I62" s="55">
        <f t="shared" si="19"/>
        <v>88351.65</v>
      </c>
      <c r="J62" s="55">
        <f t="shared" si="19"/>
        <v>93508.92</v>
      </c>
      <c r="K62" s="55">
        <f t="shared" si="19"/>
        <v>110547</v>
      </c>
      <c r="L62" s="55">
        <f t="shared" si="19"/>
        <v>101351</v>
      </c>
      <c r="M62" s="49">
        <f t="shared" si="19"/>
        <v>0</v>
      </c>
    </row>
    <row r="64" spans="2:13" x14ac:dyDescent="0.3">
      <c r="B64" s="54" t="s">
        <v>124</v>
      </c>
      <c r="C64" s="55">
        <f>IFERROR(SUM(C62,C57),0)</f>
        <v>263184.12</v>
      </c>
      <c r="D64" s="55">
        <f t="shared" ref="D64:M64" si="20">IFERROR(SUM(D62,D57),0)</f>
        <v>272580.36</v>
      </c>
      <c r="E64" s="55">
        <f t="shared" si="20"/>
        <v>327191.81</v>
      </c>
      <c r="F64" s="55">
        <f t="shared" si="20"/>
        <v>305703.49</v>
      </c>
      <c r="G64" s="55">
        <f t="shared" si="20"/>
        <v>320179.39</v>
      </c>
      <c r="H64" s="55">
        <f t="shared" si="20"/>
        <v>341569.91</v>
      </c>
      <c r="I64" s="55">
        <f t="shared" si="20"/>
        <v>329061.49</v>
      </c>
      <c r="J64" s="55">
        <f t="shared" si="20"/>
        <v>334674.43</v>
      </c>
      <c r="K64" s="55">
        <f t="shared" si="20"/>
        <v>369521</v>
      </c>
      <c r="L64" s="55">
        <f t="shared" si="20"/>
        <v>376973</v>
      </c>
      <c r="M64" s="49">
        <f t="shared" si="20"/>
        <v>0</v>
      </c>
    </row>
    <row r="66" spans="1:13" x14ac:dyDescent="0.3">
      <c r="B66" s="35" t="s">
        <v>126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">
      <c r="A68" s="42" t="s">
        <v>156</v>
      </c>
      <c r="B68" s="42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</row>
    <row r="69" spans="1:13" x14ac:dyDescent="0.3">
      <c r="B69" s="35" t="s">
        <v>157</v>
      </c>
    </row>
    <row r="70" spans="1:13" x14ac:dyDescent="0.3">
      <c r="B70" t="s">
        <v>128</v>
      </c>
      <c r="C70" s="49">
        <f>IFERROR(CFS!E4,0)</f>
        <v>38626</v>
      </c>
      <c r="D70" s="49">
        <f>IFERROR(CFS!F4,0)</f>
        <v>28840</v>
      </c>
      <c r="E70" s="49">
        <f>IFERROR(CFS!G4,0)</f>
        <v>33312</v>
      </c>
      <c r="F70" s="49">
        <f>IFERROR(CFS!H4,0)</f>
        <v>28771</v>
      </c>
      <c r="G70" s="49">
        <f>IFERROR(CFS!I4,0)</f>
        <v>23352</v>
      </c>
      <c r="H70" s="49">
        <f>IFERROR(CFS!J4,0)</f>
        <v>31198</v>
      </c>
      <c r="I70" s="49">
        <f>IFERROR(CFS!K4,0)</f>
        <v>26943</v>
      </c>
      <c r="J70" s="49">
        <f>IFERROR(CFS!L4,0)</f>
        <v>41694</v>
      </c>
      <c r="K70" s="49">
        <f>IFERROR(CFS!M4,0)</f>
        <v>65106</v>
      </c>
      <c r="L70" s="49">
        <f>IFERROR(CFS!N4,0)</f>
        <v>58937</v>
      </c>
    </row>
    <row r="71" spans="1:13" x14ac:dyDescent="0.3">
      <c r="B71" t="s">
        <v>78</v>
      </c>
      <c r="C71" s="49">
        <f>IFERROR(CFS!E5,0)</f>
        <v>-2223</v>
      </c>
      <c r="D71" s="49">
        <f>IFERROR(CFS!F5,0)</f>
        <v>-4152</v>
      </c>
      <c r="E71" s="49">
        <f>IFERROR(CFS!G5,0)</f>
        <v>-10688</v>
      </c>
      <c r="F71" s="49">
        <f>IFERROR(CFS!H5,0)</f>
        <v>-9109</v>
      </c>
      <c r="G71" s="49">
        <f>IFERROR(CFS!I5,0)</f>
        <v>9950</v>
      </c>
      <c r="H71" s="49">
        <f>IFERROR(CFS!J5,0)</f>
        <v>-5505</v>
      </c>
      <c r="I71" s="49">
        <f>IFERROR(CFS!K5,0)</f>
        <v>185</v>
      </c>
      <c r="J71" s="49">
        <f>IFERROR(CFS!L5,0)</f>
        <v>-2213</v>
      </c>
      <c r="K71" s="49">
        <f>IFERROR(CFS!M5,0)</f>
        <v>-1876</v>
      </c>
      <c r="L71" s="49">
        <f>IFERROR(CFS!N5,0)</f>
        <v>3573</v>
      </c>
    </row>
    <row r="72" spans="1:13" x14ac:dyDescent="0.3">
      <c r="B72" t="s">
        <v>45</v>
      </c>
      <c r="C72" s="49">
        <f>IFERROR(CFS!E6,0)</f>
        <v>-5743</v>
      </c>
      <c r="D72" s="49">
        <f>IFERROR(CFS!F6,0)</f>
        <v>-6621</v>
      </c>
      <c r="E72" s="49">
        <f>IFERROR(CFS!G6,0)</f>
        <v>-3560</v>
      </c>
      <c r="F72" s="49">
        <f>IFERROR(CFS!H6,0)</f>
        <v>2069</v>
      </c>
      <c r="G72" s="49">
        <f>IFERROR(CFS!I6,0)</f>
        <v>2326</v>
      </c>
      <c r="H72" s="49">
        <f>IFERROR(CFS!J6,0)</f>
        <v>3814</v>
      </c>
      <c r="I72" s="49">
        <f>IFERROR(CFS!K6,0)</f>
        <v>472</v>
      </c>
      <c r="J72" s="49">
        <f>IFERROR(CFS!L6,0)</f>
        <v>-5665</v>
      </c>
      <c r="K72" s="49">
        <f>IFERROR(CFS!M6,0)</f>
        <v>-7265</v>
      </c>
      <c r="L72" s="49">
        <f>IFERROR(CFS!N6,0)</f>
        <v>2127</v>
      </c>
    </row>
    <row r="73" spans="1:13" x14ac:dyDescent="0.3">
      <c r="B73" t="s">
        <v>129</v>
      </c>
      <c r="C73" s="49">
        <f>IFERROR(CFS!E7,0)</f>
        <v>3947</v>
      </c>
      <c r="D73" s="49">
        <f>IFERROR(CFS!F7,0)</f>
        <v>9301</v>
      </c>
      <c r="E73" s="49">
        <f>IFERROR(CFS!G7,0)</f>
        <v>7320</v>
      </c>
      <c r="F73" s="49">
        <f>IFERROR(CFS!H7,0)</f>
        <v>-4692</v>
      </c>
      <c r="G73" s="49">
        <f>IFERROR(CFS!I7,0)</f>
        <v>-8085</v>
      </c>
      <c r="H73" s="49">
        <f>IFERROR(CFS!J7,0)</f>
        <v>5748</v>
      </c>
      <c r="I73" s="49">
        <f>IFERROR(CFS!K7,0)</f>
        <v>-7012</v>
      </c>
      <c r="J73" s="49">
        <f>IFERROR(CFS!L7,0)</f>
        <v>6945</v>
      </c>
      <c r="K73" s="49">
        <f>IFERROR(CFS!M7,0)</f>
        <v>13706</v>
      </c>
      <c r="L73" s="49">
        <f>IFERROR(CFS!N7,0)</f>
        <v>1303</v>
      </c>
    </row>
    <row r="74" spans="1:13" x14ac:dyDescent="0.3">
      <c r="B74" t="s">
        <v>130</v>
      </c>
      <c r="C74" s="49">
        <f>IFERROR(CFS!E8,0)</f>
        <v>-520</v>
      </c>
      <c r="D74" s="49">
        <f>IFERROR(CFS!F8,0)</f>
        <v>0</v>
      </c>
      <c r="E74" s="49">
        <f>IFERROR(CFS!G8,0)</f>
        <v>0</v>
      </c>
      <c r="F74" s="49">
        <f>IFERROR(CFS!H8,0)</f>
        <v>0</v>
      </c>
      <c r="G74" s="49">
        <f>IFERROR(CFS!I8,0)</f>
        <v>0</v>
      </c>
      <c r="H74" s="49">
        <f>IFERROR(CFS!J8,0)</f>
        <v>0</v>
      </c>
      <c r="I74" s="49">
        <f>IFERROR(CFS!K8,0)</f>
        <v>0</v>
      </c>
      <c r="J74" s="49">
        <f>IFERROR(CFS!L8,0)</f>
        <v>0</v>
      </c>
      <c r="K74" s="49">
        <f>IFERROR(CFS!M8,0)</f>
        <v>0</v>
      </c>
      <c r="L74" s="49">
        <f>IFERROR(CFS!N8,0)</f>
        <v>0</v>
      </c>
    </row>
    <row r="75" spans="1:13" x14ac:dyDescent="0.3">
      <c r="B75" t="s">
        <v>131</v>
      </c>
      <c r="C75" s="49">
        <f>IFERROR(CFS!E9,0)</f>
        <v>5852</v>
      </c>
      <c r="D75" s="49">
        <f>IFERROR(CFS!F9,0)</f>
        <v>4727</v>
      </c>
      <c r="E75" s="49">
        <f>IFERROR(CFS!G9,0)</f>
        <v>494</v>
      </c>
      <c r="F75" s="49">
        <f>IFERROR(CFS!H9,0)</f>
        <v>4512</v>
      </c>
      <c r="G75" s="49">
        <f>IFERROR(CFS!I9,0)</f>
        <v>875</v>
      </c>
      <c r="H75" s="49">
        <f>IFERROR(CFS!J9,0)</f>
        <v>-4150</v>
      </c>
      <c r="I75" s="49">
        <f>IFERROR(CFS!K9,0)</f>
        <v>-4396</v>
      </c>
      <c r="J75" s="49">
        <f>IFERROR(CFS!L9,0)</f>
        <v>-2194</v>
      </c>
      <c r="K75" s="49">
        <f>IFERROR(CFS!M9,0)</f>
        <v>2760</v>
      </c>
      <c r="L75" s="49">
        <f>IFERROR(CFS!N9,0)</f>
        <v>1153</v>
      </c>
    </row>
    <row r="76" spans="1:13" x14ac:dyDescent="0.3">
      <c r="B76" t="s">
        <v>132</v>
      </c>
      <c r="C76" s="49">
        <f>IFERROR(CFS!E10,0)</f>
        <v>1313</v>
      </c>
      <c r="D76" s="49">
        <f>IFERROR(CFS!F10,0)</f>
        <v>3254</v>
      </c>
      <c r="E76" s="49">
        <f>IFERROR(CFS!G10,0)</f>
        <v>-6434</v>
      </c>
      <c r="F76" s="49">
        <f>IFERROR(CFS!H10,0)</f>
        <v>-7221</v>
      </c>
      <c r="G76" s="49">
        <f>IFERROR(CFS!I10,0)</f>
        <v>5065</v>
      </c>
      <c r="H76" s="49">
        <f>IFERROR(CFS!J10,0)</f>
        <v>-93</v>
      </c>
      <c r="I76" s="49">
        <f>IFERROR(CFS!K10,0)</f>
        <v>-10750</v>
      </c>
      <c r="J76" s="49">
        <f>IFERROR(CFS!L10,0)</f>
        <v>-3127</v>
      </c>
      <c r="K76" s="49">
        <f>IFERROR(CFS!M10,0)</f>
        <v>7325</v>
      </c>
      <c r="L76" s="49">
        <f>IFERROR(CFS!N10,0)</f>
        <v>8156</v>
      </c>
    </row>
    <row r="77" spans="1:13" x14ac:dyDescent="0.3">
      <c r="B77" t="s">
        <v>133</v>
      </c>
      <c r="C77" s="49">
        <f>IFERROR(CFS!E11,0)</f>
        <v>-2040</v>
      </c>
      <c r="D77" s="49">
        <f>IFERROR(CFS!F11,0)</f>
        <v>-1895</v>
      </c>
      <c r="E77" s="49">
        <f>IFERROR(CFS!G11,0)</f>
        <v>-3021</v>
      </c>
      <c r="F77" s="49">
        <f>IFERROR(CFS!H11,0)</f>
        <v>-2659</v>
      </c>
      <c r="G77" s="49">
        <f>IFERROR(CFS!I11,0)</f>
        <v>-1785</v>
      </c>
      <c r="H77" s="49">
        <f>IFERROR(CFS!J11,0)</f>
        <v>-2105</v>
      </c>
      <c r="I77" s="49">
        <f>IFERROR(CFS!K11,0)</f>
        <v>-1910</v>
      </c>
      <c r="J77" s="49">
        <f>IFERROR(CFS!L11,0)</f>
        <v>-3179</v>
      </c>
      <c r="K77" s="49">
        <f>IFERROR(CFS!M11,0)</f>
        <v>-4516</v>
      </c>
      <c r="L77" s="49">
        <f>IFERROR(CFS!N11,0)</f>
        <v>-3991</v>
      </c>
    </row>
    <row r="78" spans="1:13" x14ac:dyDescent="0.3">
      <c r="B78" s="35" t="s">
        <v>160</v>
      </c>
      <c r="C78" s="40">
        <f>IFERROR(SUM(C70:C77),0)</f>
        <v>39212</v>
      </c>
      <c r="D78" s="40">
        <f t="shared" ref="D78:L78" si="22">IFERROR(SUM(D70:D77),0)</f>
        <v>33454</v>
      </c>
      <c r="E78" s="40">
        <f t="shared" si="22"/>
        <v>17423</v>
      </c>
      <c r="F78" s="40">
        <f t="shared" si="22"/>
        <v>11671</v>
      </c>
      <c r="G78" s="40">
        <f t="shared" si="22"/>
        <v>31698</v>
      </c>
      <c r="H78" s="40">
        <f t="shared" si="22"/>
        <v>28907</v>
      </c>
      <c r="I78" s="40">
        <f t="shared" si="22"/>
        <v>3532</v>
      </c>
      <c r="J78" s="40">
        <f t="shared" si="22"/>
        <v>32261</v>
      </c>
      <c r="K78" s="40">
        <f t="shared" si="22"/>
        <v>75240</v>
      </c>
      <c r="L78" s="40">
        <f t="shared" si="22"/>
        <v>71258</v>
      </c>
    </row>
    <row r="80" spans="1:13" x14ac:dyDescent="0.3">
      <c r="B80" s="35" t="s">
        <v>158</v>
      </c>
    </row>
    <row r="81" spans="2:12" x14ac:dyDescent="0.3">
      <c r="B81" t="s">
        <v>135</v>
      </c>
      <c r="C81" s="49">
        <f>IFERROR(CFS!C13,0)</f>
        <v>-26975</v>
      </c>
      <c r="D81" s="49">
        <f>IFERROR(CFS!D13,0)</f>
        <v>-31962</v>
      </c>
      <c r="E81" s="49">
        <f>IFERROR(CFS!E13,0)</f>
        <v>-31503</v>
      </c>
      <c r="F81" s="49">
        <f>IFERROR(CFS!F13,0)</f>
        <v>-16072</v>
      </c>
      <c r="G81" s="49">
        <f>IFERROR(CFS!G13,0)</f>
        <v>-35079</v>
      </c>
      <c r="H81" s="49">
        <f>IFERROR(CFS!H13,0)</f>
        <v>-35304</v>
      </c>
      <c r="I81" s="49">
        <f>IFERROR(CFS!I13,0)</f>
        <v>-29702</v>
      </c>
      <c r="J81" s="49">
        <f>IFERROR(CFS!J13,0)</f>
        <v>-20205</v>
      </c>
      <c r="K81" s="49">
        <f>IFERROR(CFS!K13,0)</f>
        <v>-15168</v>
      </c>
      <c r="L81" s="49">
        <f>IFERROR(CFS!L13,0)</f>
        <v>-19230</v>
      </c>
    </row>
    <row r="82" spans="2:12" x14ac:dyDescent="0.3">
      <c r="B82" t="s">
        <v>136</v>
      </c>
      <c r="C82" s="49">
        <f>IFERROR(CFS!C14,0)</f>
        <v>50</v>
      </c>
      <c r="D82" s="49">
        <f>IFERROR(CFS!D14,0)</f>
        <v>74</v>
      </c>
      <c r="E82" s="49">
        <f>IFERROR(CFS!E14,0)</f>
        <v>59</v>
      </c>
      <c r="F82" s="49">
        <f>IFERROR(CFS!F14,0)</f>
        <v>53</v>
      </c>
      <c r="G82" s="49">
        <f>IFERROR(CFS!G14,0)</f>
        <v>30</v>
      </c>
      <c r="H82" s="49">
        <f>IFERROR(CFS!H14,0)</f>
        <v>67</v>
      </c>
      <c r="I82" s="49">
        <f>IFERROR(CFS!I14,0)</f>
        <v>171</v>
      </c>
      <c r="J82" s="49">
        <f>IFERROR(CFS!J14,0)</f>
        <v>351</v>
      </c>
      <c r="K82" s="49">
        <f>IFERROR(CFS!K14,0)</f>
        <v>230</v>
      </c>
      <c r="L82" s="49">
        <f>IFERROR(CFS!L14,0)</f>
        <v>285</v>
      </c>
    </row>
    <row r="83" spans="2:12" x14ac:dyDescent="0.3">
      <c r="B83" t="s">
        <v>137</v>
      </c>
      <c r="C83" s="49">
        <f>IFERROR(CFS!C15,0)</f>
        <v>-429</v>
      </c>
      <c r="D83" s="49">
        <f>IFERROR(CFS!D15,0)</f>
        <v>-5461</v>
      </c>
      <c r="E83" s="49">
        <f>IFERROR(CFS!E15,0)</f>
        <v>-4728</v>
      </c>
      <c r="F83" s="49">
        <f>IFERROR(CFS!F15,0)</f>
        <v>-6</v>
      </c>
      <c r="G83" s="49">
        <f>IFERROR(CFS!G15,0)</f>
        <v>-329</v>
      </c>
      <c r="H83" s="49">
        <f>IFERROR(CFS!H15,0)</f>
        <v>-130</v>
      </c>
      <c r="I83" s="49">
        <f>IFERROR(CFS!I15,0)</f>
        <v>-1439</v>
      </c>
      <c r="J83" s="49">
        <f>IFERROR(CFS!J15,0)</f>
        <v>-7530</v>
      </c>
      <c r="K83" s="49">
        <f>IFERROR(CFS!K15,0)</f>
        <v>-3008</v>
      </c>
      <c r="L83" s="49">
        <f>IFERROR(CFS!L15,0)</f>
        <v>-50</v>
      </c>
    </row>
    <row r="84" spans="2:12" x14ac:dyDescent="0.3">
      <c r="B84" t="s">
        <v>138</v>
      </c>
      <c r="C84" s="49">
        <f>IFERROR(CFS!C16,0)</f>
        <v>4</v>
      </c>
      <c r="D84" s="49">
        <f>IFERROR(CFS!D16,0)</f>
        <v>42</v>
      </c>
      <c r="E84" s="49">
        <f>IFERROR(CFS!E16,0)</f>
        <v>89</v>
      </c>
      <c r="F84" s="49">
        <f>IFERROR(CFS!F16,0)</f>
        <v>1965</v>
      </c>
      <c r="G84" s="49">
        <f>IFERROR(CFS!G16,0)</f>
        <v>2381</v>
      </c>
      <c r="H84" s="49">
        <f>IFERROR(CFS!H16,0)</f>
        <v>5644</v>
      </c>
      <c r="I84" s="49">
        <f>IFERROR(CFS!I16,0)</f>
        <v>21</v>
      </c>
      <c r="J84" s="49">
        <f>IFERROR(CFS!J16,0)</f>
        <v>226</v>
      </c>
      <c r="K84" s="49">
        <f>IFERROR(CFS!K16,0)</f>
        <v>104</v>
      </c>
      <c r="L84" s="49">
        <f>IFERROR(CFS!L16,0)</f>
        <v>6895</v>
      </c>
    </row>
    <row r="85" spans="2:12" x14ac:dyDescent="0.3">
      <c r="B85" t="s">
        <v>139</v>
      </c>
      <c r="C85" s="49">
        <f>IFERROR(CFS!C17,0)</f>
        <v>653</v>
      </c>
      <c r="D85" s="49">
        <f>IFERROR(CFS!D17,0)</f>
        <v>698</v>
      </c>
      <c r="E85" s="49">
        <f>IFERROR(CFS!E17,0)</f>
        <v>731</v>
      </c>
      <c r="F85" s="49">
        <f>IFERROR(CFS!F17,0)</f>
        <v>638</v>
      </c>
      <c r="G85" s="49">
        <f>IFERROR(CFS!G17,0)</f>
        <v>690</v>
      </c>
      <c r="H85" s="49">
        <f>IFERROR(CFS!H17,0)</f>
        <v>761</v>
      </c>
      <c r="I85" s="49">
        <f>IFERROR(CFS!I17,0)</f>
        <v>1104</v>
      </c>
      <c r="J85" s="49">
        <f>IFERROR(CFS!J17,0)</f>
        <v>428</v>
      </c>
      <c r="K85" s="49">
        <f>IFERROR(CFS!K17,0)</f>
        <v>653</v>
      </c>
      <c r="L85" s="49">
        <f>IFERROR(CFS!L17,0)</f>
        <v>973</v>
      </c>
    </row>
    <row r="86" spans="2:12" x14ac:dyDescent="0.3">
      <c r="B86" t="s">
        <v>140</v>
      </c>
      <c r="C86" s="49">
        <f>IFERROR(CFS!C18,0)</f>
        <v>40</v>
      </c>
      <c r="D86" s="49">
        <f>IFERROR(CFS!D18,0)</f>
        <v>80</v>
      </c>
      <c r="E86" s="49">
        <f>IFERROR(CFS!E18,0)</f>
        <v>58</v>
      </c>
      <c r="F86" s="49">
        <f>IFERROR(CFS!F18,0)</f>
        <v>620</v>
      </c>
      <c r="G86" s="49">
        <f>IFERROR(CFS!G18,0)</f>
        <v>1797</v>
      </c>
      <c r="H86" s="49">
        <f>IFERROR(CFS!H18,0)</f>
        <v>232</v>
      </c>
      <c r="I86" s="49">
        <f>IFERROR(CFS!I18,0)</f>
        <v>21</v>
      </c>
      <c r="J86" s="49">
        <f>IFERROR(CFS!J18,0)</f>
        <v>18</v>
      </c>
      <c r="K86" s="49">
        <f>IFERROR(CFS!K18,0)</f>
        <v>32</v>
      </c>
      <c r="L86" s="49">
        <f>IFERROR(CFS!L18,0)</f>
        <v>46</v>
      </c>
    </row>
    <row r="87" spans="2:12" x14ac:dyDescent="0.3">
      <c r="B87" t="s">
        <v>141</v>
      </c>
      <c r="C87" s="49">
        <f>IFERROR(CFS!C19,0)</f>
        <v>0</v>
      </c>
      <c r="D87" s="49">
        <f>IFERROR(CFS!D19,0)</f>
        <v>-160</v>
      </c>
      <c r="E87" s="49">
        <f>IFERROR(CFS!E19,0)</f>
        <v>0</v>
      </c>
      <c r="F87" s="49">
        <f>IFERROR(CFS!F19,0)</f>
        <v>-107</v>
      </c>
      <c r="G87" s="49">
        <f>IFERROR(CFS!G19,0)</f>
        <v>-4</v>
      </c>
      <c r="H87" s="49">
        <f>IFERROR(CFS!H19,0)</f>
        <v>-9</v>
      </c>
      <c r="I87" s="49">
        <f>IFERROR(CFS!I19,0)</f>
        <v>-606</v>
      </c>
      <c r="J87" s="49">
        <f>IFERROR(CFS!J19,0)</f>
        <v>-10</v>
      </c>
      <c r="K87" s="49">
        <f>IFERROR(CFS!K19,0)</f>
        <v>0</v>
      </c>
      <c r="L87" s="49">
        <f>IFERROR(CFS!L19,0)</f>
        <v>0</v>
      </c>
    </row>
    <row r="88" spans="2:12" x14ac:dyDescent="0.3">
      <c r="B88" t="s">
        <v>142</v>
      </c>
      <c r="C88" s="49">
        <f>IFERROR(CFS!C20,0)</f>
        <v>0</v>
      </c>
      <c r="D88" s="49">
        <f>IFERROR(CFS!D20,0)</f>
        <v>0</v>
      </c>
      <c r="E88" s="49">
        <f>IFERROR(CFS!E20,0)</f>
        <v>0</v>
      </c>
      <c r="F88" s="49">
        <f>IFERROR(CFS!F20,0)</f>
        <v>0</v>
      </c>
      <c r="G88" s="49">
        <f>IFERROR(CFS!G20,0)</f>
        <v>14</v>
      </c>
      <c r="H88" s="49">
        <f>IFERROR(CFS!H20,0)</f>
        <v>533</v>
      </c>
      <c r="I88" s="49">
        <f>IFERROR(CFS!I20,0)</f>
        <v>0</v>
      </c>
      <c r="J88" s="49">
        <f>IFERROR(CFS!J20,0)</f>
        <v>0</v>
      </c>
      <c r="K88" s="49">
        <f>IFERROR(CFS!K20,0)</f>
        <v>0</v>
      </c>
      <c r="L88" s="49">
        <f>IFERROR(CFS!L20,0)</f>
        <v>19</v>
      </c>
    </row>
    <row r="89" spans="2:12" x14ac:dyDescent="0.3">
      <c r="B89" t="s">
        <v>143</v>
      </c>
      <c r="C89" s="49">
        <f>IFERROR(CFS!C21,0)</f>
        <v>-185</v>
      </c>
      <c r="D89" s="49">
        <f>IFERROR(CFS!D21,0)</f>
        <v>0</v>
      </c>
      <c r="E89" s="49">
        <f>IFERROR(CFS!E21,0)</f>
        <v>-111</v>
      </c>
      <c r="F89" s="49">
        <f>IFERROR(CFS!F21,0)</f>
        <v>0</v>
      </c>
      <c r="G89" s="49">
        <f>IFERROR(CFS!G21,0)</f>
        <v>0</v>
      </c>
      <c r="H89" s="49">
        <f>IFERROR(CFS!H21,0)</f>
        <v>-8</v>
      </c>
      <c r="I89" s="49">
        <f>IFERROR(CFS!I21,0)</f>
        <v>-27</v>
      </c>
      <c r="J89" s="49">
        <f>IFERROR(CFS!J21,0)</f>
        <v>0</v>
      </c>
      <c r="K89" s="49">
        <f>IFERROR(CFS!K21,0)</f>
        <v>-98</v>
      </c>
      <c r="L89" s="49">
        <f>IFERROR(CFS!L21,0)</f>
        <v>0</v>
      </c>
    </row>
    <row r="90" spans="2:12" x14ac:dyDescent="0.3">
      <c r="B90" t="s">
        <v>144</v>
      </c>
      <c r="C90" s="49">
        <f>IFERROR(CFS!C22,0)</f>
        <v>0</v>
      </c>
      <c r="D90" s="49">
        <f>IFERROR(CFS!D22,0)</f>
        <v>0</v>
      </c>
      <c r="E90" s="49">
        <f>IFERROR(CFS!E22,0)</f>
        <v>0</v>
      </c>
      <c r="F90" s="49">
        <f>IFERROR(CFS!F22,0)</f>
        <v>0</v>
      </c>
      <c r="G90" s="49">
        <f>IFERROR(CFS!G22,0)</f>
        <v>0</v>
      </c>
      <c r="H90" s="49">
        <f>IFERROR(CFS!H22,0)</f>
        <v>0</v>
      </c>
      <c r="I90" s="49">
        <f>IFERROR(CFS!I22,0)</f>
        <v>0</v>
      </c>
      <c r="J90" s="49">
        <f>IFERROR(CFS!J22,0)</f>
        <v>0</v>
      </c>
      <c r="K90" s="49">
        <f>IFERROR(CFS!K22,0)</f>
        <v>0</v>
      </c>
      <c r="L90" s="49">
        <f>IFERROR(CFS!L22,0)</f>
        <v>0</v>
      </c>
    </row>
    <row r="91" spans="2:12" x14ac:dyDescent="0.3">
      <c r="B91" t="s">
        <v>145</v>
      </c>
      <c r="C91" s="49">
        <f>IFERROR(CFS!C23,0)</f>
        <v>-1149</v>
      </c>
      <c r="D91" s="49">
        <f>IFERROR(CFS!D23,0)</f>
        <v>456</v>
      </c>
      <c r="E91" s="49">
        <f>IFERROR(CFS!E23,0)</f>
        <v>-1289</v>
      </c>
      <c r="F91" s="49">
        <f>IFERROR(CFS!F23,0)</f>
        <v>-26663</v>
      </c>
      <c r="G91" s="49">
        <f>IFERROR(CFS!G23,0)</f>
        <v>5360</v>
      </c>
      <c r="H91" s="49">
        <f>IFERROR(CFS!H23,0)</f>
        <v>7335</v>
      </c>
      <c r="I91" s="49">
        <f>IFERROR(CFS!I23,0)</f>
        <v>-2659</v>
      </c>
      <c r="J91" s="49">
        <f>IFERROR(CFS!J23,0)</f>
        <v>1051</v>
      </c>
      <c r="K91" s="49">
        <f>IFERROR(CFS!K23,0)</f>
        <v>12813</v>
      </c>
      <c r="L91" s="49">
        <f>IFERROR(CFS!L23,0)</f>
        <v>-4357</v>
      </c>
    </row>
    <row r="92" spans="2:12" x14ac:dyDescent="0.3">
      <c r="B92" s="35" t="s">
        <v>159</v>
      </c>
      <c r="C92" s="40">
        <f>SUM(C81:C91)</f>
        <v>-27991</v>
      </c>
      <c r="D92" s="40">
        <f t="shared" ref="D92:L92" si="23">SUM(D81:D91)</f>
        <v>-36233</v>
      </c>
      <c r="E92" s="40">
        <f t="shared" si="23"/>
        <v>-36694</v>
      </c>
      <c r="F92" s="40">
        <f t="shared" si="23"/>
        <v>-39572</v>
      </c>
      <c r="G92" s="40">
        <f t="shared" si="23"/>
        <v>-25140</v>
      </c>
      <c r="H92" s="40">
        <f t="shared" si="23"/>
        <v>-20879</v>
      </c>
      <c r="I92" s="40">
        <f t="shared" si="23"/>
        <v>-33116</v>
      </c>
      <c r="J92" s="40">
        <f t="shared" si="23"/>
        <v>-25671</v>
      </c>
      <c r="K92" s="40">
        <f t="shared" si="23"/>
        <v>-4442</v>
      </c>
      <c r="L92" s="40">
        <f t="shared" si="23"/>
        <v>-15419</v>
      </c>
    </row>
    <row r="94" spans="2:12" x14ac:dyDescent="0.3">
      <c r="B94" s="35" t="s">
        <v>161</v>
      </c>
    </row>
    <row r="95" spans="2:12" x14ac:dyDescent="0.3">
      <c r="B95" t="s">
        <v>147</v>
      </c>
      <c r="C95" s="49">
        <f>IFERROR(CFS!C25,0)</f>
        <v>0</v>
      </c>
      <c r="D95" s="49">
        <f>IFERROR(CFS!D25,0)</f>
        <v>0</v>
      </c>
      <c r="E95" s="49">
        <f>IFERROR(CFS!E25,0)</f>
        <v>7433</v>
      </c>
      <c r="F95" s="49">
        <f>IFERROR(CFS!F25,0)</f>
        <v>5</v>
      </c>
      <c r="G95" s="49">
        <f>IFERROR(CFS!G25,0)</f>
        <v>0</v>
      </c>
      <c r="H95" s="49">
        <f>IFERROR(CFS!H25,0)</f>
        <v>0</v>
      </c>
      <c r="I95" s="49">
        <f>IFERROR(CFS!I25,0)</f>
        <v>3889</v>
      </c>
      <c r="J95" s="49">
        <f>IFERROR(CFS!J25,0)</f>
        <v>2603</v>
      </c>
      <c r="K95" s="49">
        <f>IFERROR(CFS!K25,0)</f>
        <v>19</v>
      </c>
      <c r="L95" s="49">
        <f>IFERROR(CFS!L25,0)</f>
        <v>20</v>
      </c>
    </row>
    <row r="96" spans="2:12" x14ac:dyDescent="0.3">
      <c r="B96" t="s">
        <v>148</v>
      </c>
      <c r="C96" s="49">
        <f>IFERROR(CFS!C26,0)</f>
        <v>-658</v>
      </c>
      <c r="D96" s="49">
        <f>IFERROR(CFS!D26,0)</f>
        <v>-744</v>
      </c>
      <c r="E96" s="49">
        <f>IFERROR(CFS!E26,0)</f>
        <v>0</v>
      </c>
      <c r="F96" s="49">
        <f>IFERROR(CFS!F26,0)</f>
        <v>0</v>
      </c>
      <c r="G96" s="49">
        <f>IFERROR(CFS!G26,0)</f>
        <v>0</v>
      </c>
      <c r="H96" s="49">
        <f>IFERROR(CFS!H26,0)</f>
        <v>0</v>
      </c>
      <c r="I96" s="49">
        <f>IFERROR(CFS!I26,0)</f>
        <v>0</v>
      </c>
      <c r="J96" s="49">
        <f>IFERROR(CFS!J26,0)</f>
        <v>0</v>
      </c>
      <c r="K96" s="49">
        <f>IFERROR(CFS!K26,0)</f>
        <v>0</v>
      </c>
      <c r="L96" s="49">
        <f>IFERROR(CFS!L26,0)</f>
        <v>0</v>
      </c>
    </row>
    <row r="97" spans="2:12" x14ac:dyDescent="0.3">
      <c r="B97" t="s">
        <v>149</v>
      </c>
      <c r="C97" s="49">
        <f>IFERROR(CFS!C27,0)</f>
        <v>33258</v>
      </c>
      <c r="D97" s="49">
        <f>IFERROR(CFS!D27,0)</f>
        <v>36363</v>
      </c>
      <c r="E97" s="49">
        <f>IFERROR(CFS!E27,0)</f>
        <v>19519</v>
      </c>
      <c r="F97" s="49">
        <f>IFERROR(CFS!F27,0)</f>
        <v>33390</v>
      </c>
      <c r="G97" s="49">
        <f>IFERROR(CFS!G27,0)</f>
        <v>37482</v>
      </c>
      <c r="H97" s="49">
        <f>IFERROR(CFS!H27,0)</f>
        <v>51128</v>
      </c>
      <c r="I97" s="49">
        <f>IFERROR(CFS!I27,0)</f>
        <v>38297</v>
      </c>
      <c r="J97" s="49">
        <f>IFERROR(CFS!J27,0)</f>
        <v>46641</v>
      </c>
      <c r="K97" s="49">
        <f>IFERROR(CFS!K27,0)</f>
        <v>46578</v>
      </c>
      <c r="L97" s="49">
        <f>IFERROR(CFS!L27,0)</f>
        <v>43934</v>
      </c>
    </row>
    <row r="98" spans="2:12" x14ac:dyDescent="0.3">
      <c r="B98" t="s">
        <v>150</v>
      </c>
      <c r="C98" s="53">
        <f>IFERROR(CFS!C28,0)</f>
        <v>-29141</v>
      </c>
      <c r="D98" s="53">
        <f>IFERROR(CFS!D28,0)</f>
        <v>-23332</v>
      </c>
      <c r="E98" s="53">
        <f>IFERROR(CFS!E28,0)</f>
        <v>-24924</v>
      </c>
      <c r="F98" s="53">
        <f>IFERROR(CFS!F28,0)</f>
        <v>-21732</v>
      </c>
      <c r="G98" s="53">
        <f>IFERROR(CFS!G28,0)</f>
        <v>-29964</v>
      </c>
      <c r="H98" s="53">
        <f>IFERROR(CFS!H28,0)</f>
        <v>-35198</v>
      </c>
      <c r="I98" s="53">
        <f>IFERROR(CFS!I28,0)</f>
        <v>-29847</v>
      </c>
      <c r="J98" s="53">
        <f>IFERROR(CFS!J28,0)</f>
        <v>-29709</v>
      </c>
      <c r="K98" s="53">
        <f>IFERROR(CFS!K28,0)</f>
        <v>-42816</v>
      </c>
      <c r="L98" s="53">
        <f>IFERROR(CFS!L28,0)</f>
        <v>-62557</v>
      </c>
    </row>
    <row r="99" spans="2:12" x14ac:dyDescent="0.3">
      <c r="B99" t="s">
        <v>151</v>
      </c>
      <c r="C99" s="53">
        <f>IFERROR(CFS!C29,0)</f>
        <v>-6171</v>
      </c>
      <c r="D99" s="53">
        <f>IFERROR(CFS!D29,0)</f>
        <v>-6307</v>
      </c>
      <c r="E99" s="53">
        <f>IFERROR(CFS!E29,0)</f>
        <v>-5716</v>
      </c>
      <c r="F99" s="53">
        <f>IFERROR(CFS!F29,0)</f>
        <v>-5336</v>
      </c>
      <c r="G99" s="53">
        <f>IFERROR(CFS!G29,0)</f>
        <v>-5411</v>
      </c>
      <c r="H99" s="53">
        <f>IFERROR(CFS!H29,0)</f>
        <v>-7005</v>
      </c>
      <c r="I99" s="53">
        <f>IFERROR(CFS!I29,0)</f>
        <v>-7518</v>
      </c>
      <c r="J99" s="53">
        <f>IFERROR(CFS!J29,0)</f>
        <v>-8123</v>
      </c>
      <c r="K99" s="53">
        <f>IFERROR(CFS!K29,0)</f>
        <v>-9251</v>
      </c>
      <c r="L99" s="53">
        <f>IFERROR(CFS!L29,0)</f>
        <v>-9336</v>
      </c>
    </row>
    <row r="100" spans="2:12" x14ac:dyDescent="0.3">
      <c r="B100" t="s">
        <v>152</v>
      </c>
      <c r="C100" s="53">
        <f>IFERROR(CFS!C30,0)</f>
        <v>-722</v>
      </c>
      <c r="D100" s="53">
        <f>IFERROR(CFS!D30,0)</f>
        <v>-720</v>
      </c>
      <c r="E100" s="53">
        <f>IFERROR(CFS!E30,0)</f>
        <v>-108</v>
      </c>
      <c r="F100" s="53">
        <f>IFERROR(CFS!F30,0)</f>
        <v>-121</v>
      </c>
      <c r="G100" s="53">
        <f>IFERROR(CFS!G30,0)</f>
        <v>-96</v>
      </c>
      <c r="H100" s="53">
        <f>IFERROR(CFS!H30,0)</f>
        <v>-95</v>
      </c>
      <c r="I100" s="53">
        <f>IFERROR(CFS!I30,0)</f>
        <v>-57</v>
      </c>
      <c r="J100" s="53">
        <f>IFERROR(CFS!J30,0)</f>
        <v>-30</v>
      </c>
      <c r="K100" s="53">
        <f>IFERROR(CFS!K30,0)</f>
        <v>-100</v>
      </c>
      <c r="L100" s="53">
        <f>IFERROR(CFS!L30,0)</f>
        <v>-141</v>
      </c>
    </row>
    <row r="101" spans="2:12" x14ac:dyDescent="0.3">
      <c r="B101" t="s">
        <v>153</v>
      </c>
      <c r="C101" s="53">
        <f>IFERROR(CFS!C31,0)</f>
        <v>0</v>
      </c>
      <c r="D101" s="53">
        <f>IFERROR(CFS!D31,0)</f>
        <v>0</v>
      </c>
      <c r="E101" s="53">
        <f>IFERROR(CFS!E31,0)</f>
        <v>0</v>
      </c>
      <c r="F101" s="53">
        <f>IFERROR(CFS!F31,0)</f>
        <v>0</v>
      </c>
      <c r="G101" s="53">
        <f>IFERROR(CFS!G31,0)</f>
        <v>0</v>
      </c>
      <c r="H101" s="53">
        <f>IFERROR(CFS!H31,0)</f>
        <v>0</v>
      </c>
      <c r="I101" s="53">
        <f>IFERROR(CFS!I31,0)</f>
        <v>-1346</v>
      </c>
      <c r="J101" s="53">
        <f>IFERROR(CFS!J31,0)</f>
        <v>-1477</v>
      </c>
      <c r="K101" s="53">
        <f>IFERROR(CFS!K31,0)</f>
        <v>-1559</v>
      </c>
      <c r="L101" s="53">
        <f>IFERROR(CFS!L31,0)</f>
        <v>-1517</v>
      </c>
    </row>
    <row r="102" spans="2:12" x14ac:dyDescent="0.3">
      <c r="B102" t="s">
        <v>154</v>
      </c>
      <c r="C102" s="53">
        <f>IFERROR(CFS!C32,0)</f>
        <v>-450</v>
      </c>
      <c r="D102" s="53">
        <f>IFERROR(CFS!D32,0)</f>
        <v>-57</v>
      </c>
      <c r="E102" s="53">
        <f>IFERROR(CFS!E32,0)</f>
        <v>0</v>
      </c>
      <c r="F102" s="53">
        <f>IFERROR(CFS!F32,0)</f>
        <v>0</v>
      </c>
      <c r="G102" s="53">
        <f>IFERROR(CFS!G32,0)</f>
        <v>0</v>
      </c>
      <c r="H102" s="53">
        <f>IFERROR(CFS!H32,0)</f>
        <v>0</v>
      </c>
      <c r="I102" s="53">
        <f>IFERROR(CFS!I32,0)</f>
        <v>-29</v>
      </c>
      <c r="J102" s="53">
        <f>IFERROR(CFS!J32,0)</f>
        <v>0</v>
      </c>
      <c r="K102" s="53">
        <f>IFERROR(CFS!K32,0)</f>
        <v>3750</v>
      </c>
      <c r="L102" s="53">
        <f>IFERROR(CFS!L32,0)</f>
        <v>3355</v>
      </c>
    </row>
    <row r="103" spans="2:12" x14ac:dyDescent="0.3">
      <c r="B103" s="35" t="s">
        <v>162</v>
      </c>
      <c r="C103" s="48">
        <f>SUM(C95:C102)</f>
        <v>-3884</v>
      </c>
      <c r="D103" s="48">
        <f t="shared" ref="D103:L103" si="24">SUM(D95:D102)</f>
        <v>5203</v>
      </c>
      <c r="E103" s="48">
        <f t="shared" si="24"/>
        <v>-3796</v>
      </c>
      <c r="F103" s="48">
        <f t="shared" si="24"/>
        <v>6206</v>
      </c>
      <c r="G103" s="48">
        <f t="shared" si="24"/>
        <v>2011</v>
      </c>
      <c r="H103" s="48">
        <f t="shared" si="24"/>
        <v>8830</v>
      </c>
      <c r="I103" s="48">
        <f t="shared" si="24"/>
        <v>3389</v>
      </c>
      <c r="J103" s="48">
        <f t="shared" si="24"/>
        <v>9905</v>
      </c>
      <c r="K103" s="48">
        <f t="shared" si="24"/>
        <v>-3379</v>
      </c>
      <c r="L103" s="48">
        <f t="shared" si="24"/>
        <v>-26242</v>
      </c>
    </row>
    <row r="105" spans="2:12" x14ac:dyDescent="0.3">
      <c r="B105" s="35" t="s">
        <v>35</v>
      </c>
      <c r="C105" s="40">
        <f>IFERROR(SUM(C78,C92,C103),0)</f>
        <v>7337</v>
      </c>
      <c r="D105" s="40">
        <f t="shared" ref="D105:L105" si="25">IFERROR(SUM(D78,D92,D103),0)</f>
        <v>2424</v>
      </c>
      <c r="E105" s="40">
        <f t="shared" si="25"/>
        <v>-23067</v>
      </c>
      <c r="F105" s="40">
        <f t="shared" si="25"/>
        <v>-21695</v>
      </c>
      <c r="G105" s="40">
        <f t="shared" si="25"/>
        <v>8569</v>
      </c>
      <c r="H105" s="40">
        <f t="shared" si="25"/>
        <v>16858</v>
      </c>
      <c r="I105" s="40">
        <f t="shared" si="25"/>
        <v>-26195</v>
      </c>
      <c r="J105" s="40">
        <f t="shared" si="25"/>
        <v>16495</v>
      </c>
      <c r="K105" s="40">
        <f t="shared" si="25"/>
        <v>67419</v>
      </c>
      <c r="L105" s="40">
        <f t="shared" si="25"/>
        <v>29597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B2:P54"/>
  <sheetViews>
    <sheetView showGridLines="0" workbookViewId="0">
      <selection activeCell="B3" sqref="B3"/>
    </sheetView>
  </sheetViews>
  <sheetFormatPr defaultRowHeight="14.4" x14ac:dyDescent="0.3"/>
  <cols>
    <col min="1" max="1" width="1.88671875" customWidth="1"/>
    <col min="2" max="2" width="31" bestFit="1" customWidth="1"/>
    <col min="3" max="3" width="12.109375" bestFit="1" customWidth="1"/>
    <col min="4" max="10" width="12.77734375" bestFit="1" customWidth="1"/>
    <col min="11" max="12" width="12.5546875" bestFit="1" customWidth="1"/>
    <col min="13" max="13" width="16.77734375" customWidth="1"/>
    <col min="14" max="15" width="10.6640625" bestFit="1" customWidth="1"/>
  </cols>
  <sheetData>
    <row r="2" spans="2:16" x14ac:dyDescent="0.3">
      <c r="B2" s="82" t="str">
        <f>"RATIO ANALYSIS -"&amp;'Data Sheet'!B1</f>
        <v>RATIO ANALYSIS -TATA MOTORS LTD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62"/>
    </row>
    <row r="3" spans="2:16" x14ac:dyDescent="0.3">
      <c r="B3" s="32" t="s">
        <v>93</v>
      </c>
      <c r="C3" s="33">
        <f>'Data Sheet'!B16</f>
        <v>42460</v>
      </c>
      <c r="D3" s="33">
        <f>'Data Sheet'!C16</f>
        <v>42825</v>
      </c>
      <c r="E3" s="33">
        <f>'Data Sheet'!D16</f>
        <v>43190</v>
      </c>
      <c r="F3" s="33">
        <f>'Data Sheet'!E16</f>
        <v>43555</v>
      </c>
      <c r="G3" s="33">
        <f>'Data Sheet'!F16</f>
        <v>43921</v>
      </c>
      <c r="H3" s="33">
        <f>'Data Sheet'!G16</f>
        <v>44286</v>
      </c>
      <c r="I3" s="33">
        <f>'Data Sheet'!H16</f>
        <v>44651</v>
      </c>
      <c r="J3" s="33">
        <f>'Data Sheet'!I16</f>
        <v>45016</v>
      </c>
      <c r="K3" s="33">
        <f>'Data Sheet'!J16</f>
        <v>45382</v>
      </c>
      <c r="L3" s="33">
        <f>'Data Sheet'!K16</f>
        <v>45747</v>
      </c>
      <c r="M3" s="76" t="s">
        <v>199</v>
      </c>
      <c r="N3" s="33" t="s">
        <v>197</v>
      </c>
      <c r="O3" s="33" t="s">
        <v>198</v>
      </c>
      <c r="P3" s="62"/>
    </row>
    <row r="4" spans="2:16" x14ac:dyDescent="0.3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2:16" x14ac:dyDescent="0.3">
      <c r="B5" s="63" t="s">
        <v>22</v>
      </c>
      <c r="C5" s="64" t="str">
        <f>IFERROR('Historical FS'!C7,0)</f>
        <v>-</v>
      </c>
      <c r="D5" s="64">
        <f>IFERROR('Historical FS'!D7,0)</f>
        <v>-1.2280329732469508E-2</v>
      </c>
      <c r="E5" s="64">
        <f>IFERROR('Historical FS'!E7,0)</f>
        <v>8.104774581985974E-2</v>
      </c>
      <c r="F5" s="64">
        <f>IFERROR('Historical FS'!F7,0)</f>
        <v>3.5629919045237157E-2</v>
      </c>
      <c r="G5" s="64">
        <f>IFERROR('Historical FS'!G7,0)</f>
        <v>-0.135360159555724</v>
      </c>
      <c r="H5" s="64">
        <f>IFERROR('Historical FS'!H7,0)</f>
        <v>-4.3181168490336042E-2</v>
      </c>
      <c r="I5" s="64">
        <f>IFERROR('Historical FS'!I7,0)</f>
        <v>0.11472967306158344</v>
      </c>
      <c r="J5" s="64">
        <f>IFERROR('Historical FS'!J7,0)</f>
        <v>0.24245815155859707</v>
      </c>
      <c r="K5" s="64">
        <f>IFERROR('Historical FS'!K7,0)</f>
        <v>0.25450126062612277</v>
      </c>
      <c r="L5" s="64">
        <f>IFERROR('Historical FS'!L7,0)</f>
        <v>1.3084771068347711E-2</v>
      </c>
      <c r="M5" s="63"/>
      <c r="N5" s="67">
        <f>IFERROR(AVERAGE(D5:L5),0)</f>
        <v>6.1181095933468703E-2</v>
      </c>
      <c r="O5" s="67">
        <f>IFERROR(MEDIAN(C5:L5),0)</f>
        <v>3.5629919045237157E-2</v>
      </c>
    </row>
    <row r="6" spans="2:16" x14ac:dyDescent="0.3">
      <c r="B6" s="11" t="s">
        <v>164</v>
      </c>
      <c r="C6" s="60" t="s">
        <v>97</v>
      </c>
      <c r="D6" s="60">
        <f>IFERROR('Historical FS'!D18/'Historical FS'!C18-1,0)</f>
        <v>-0.22936587208052905</v>
      </c>
      <c r="E6" s="60">
        <f>IFERROR('Historical FS'!E18/'Historical FS'!D18-1,0)</f>
        <v>6.3165689322506102E-2</v>
      </c>
      <c r="F6" s="60">
        <f>IFERROR('Historical FS'!F18/'Historical FS'!E18-1,0)</f>
        <v>-0.21595203460649259</v>
      </c>
      <c r="G6" s="60">
        <f>IFERROR('Historical FS'!G18/'Historical FS'!F18-1,0)</f>
        <v>-0.27072537547138131</v>
      </c>
      <c r="H6" s="60">
        <f>IFERROR('Historical FS'!H18/'Historical FS'!G18-1,0)</f>
        <v>0.79503554497758966</v>
      </c>
      <c r="I6" s="60">
        <f>IFERROR('Historical FS'!I18/'Historical FS'!H18-1,0)</f>
        <v>-0.234374182150762</v>
      </c>
      <c r="J6" s="60">
        <f>IFERROR('Historical FS'!J18/'Historical FS'!I18-1,0)</f>
        <v>0.28704223973294352</v>
      </c>
      <c r="K6" s="60">
        <f>IFERROR('Historical FS'!K18/'Historical FS'!J18-1,0)</f>
        <v>0.81746176428064277</v>
      </c>
      <c r="L6" s="60">
        <f>IFERROR('Historical FS'!L18/'Historical FS'!K18-1,0)</f>
        <v>-4.510237963475372E-2</v>
      </c>
      <c r="M6" s="11"/>
      <c r="N6" s="58">
        <f t="shared" ref="N6:N9" si="0">IFERROR(AVERAGE(D6:L6),0)</f>
        <v>0.1074650438188626</v>
      </c>
      <c r="O6" s="58">
        <f t="shared" ref="O6:O53" si="1">IFERROR(MEDIAN(C6:L6),0)</f>
        <v>-4.510237963475372E-2</v>
      </c>
    </row>
    <row r="7" spans="2:16" x14ac:dyDescent="0.3">
      <c r="B7" s="11" t="s">
        <v>165</v>
      </c>
      <c r="C7" s="60" t="s">
        <v>97</v>
      </c>
      <c r="D7" s="60">
        <f>IFERROR('Historical FS'!D27/'Historical FS'!C27-1,0)</f>
        <v>-0.55668251823863213</v>
      </c>
      <c r="E7" s="60">
        <f>IFERROR('Historical FS'!E27/'Historical FS'!D27-1,0)</f>
        <v>-0.29861436616351744</v>
      </c>
      <c r="F7" s="60">
        <f>IFERROR('Historical FS'!F27/'Historical FS'!E27-1,0)</f>
        <v>-1.897095149646705</v>
      </c>
      <c r="G7" s="60">
        <f>IFERROR('Historical FS'!G27/'Historical FS'!F27-1,0)</f>
        <v>1.2800251873039095</v>
      </c>
      <c r="H7" s="60">
        <f>IFERROR('Historical FS'!H27/'Historical FS'!G27-1,0)</f>
        <v>-1.0602479570180365</v>
      </c>
      <c r="I7" s="60">
        <f>IFERROR('Historical FS'!I27/'Historical FS'!H27-1,0)</f>
        <v>-15.64914925025267</v>
      </c>
      <c r="J7" s="60">
        <f>IFERROR('Historical FS'!J27/'Historical FS'!I27-1,0)</f>
        <v>-0.65313668793078505</v>
      </c>
      <c r="K7" s="60">
        <f>IFERROR('Historical FS'!K27/'Historical FS'!J27-1,0)</f>
        <v>-8.0308008464727472</v>
      </c>
      <c r="L7" s="60">
        <f>IFERROR('Historical FS'!L27/'Historical FS'!K27-1,0)</f>
        <v>0.16902266104127706</v>
      </c>
      <c r="M7" s="11"/>
      <c r="N7" s="58">
        <f t="shared" si="0"/>
        <v>-2.9662976585975454</v>
      </c>
      <c r="O7" s="58">
        <f t="shared" si="1"/>
        <v>-0.65313668793078505</v>
      </c>
    </row>
    <row r="8" spans="2:16" x14ac:dyDescent="0.3">
      <c r="B8" s="11" t="s">
        <v>166</v>
      </c>
      <c r="C8" s="60" t="s">
        <v>97</v>
      </c>
      <c r="D8" s="60">
        <f>IFERROR('Historical FS'!D33/'Historical FS'!C33-1,0)</f>
        <v>-0.69539895165986787</v>
      </c>
      <c r="E8" s="60">
        <f>IFERROR('Historical FS'!E33/'Historical FS'!D33-1,0)</f>
        <v>-0.79011124197155724</v>
      </c>
      <c r="F8" s="60">
        <f>IFERROR('Historical FS'!F33/'Historical FS'!E33-1,0)</f>
        <v>-3.5528470983790919</v>
      </c>
      <c r="G8" s="60">
        <f>IFERROR('Historical FS'!G33/'Historical FS'!F33-1,0)</f>
        <v>3.9286702707513577</v>
      </c>
      <c r="H8" s="60">
        <f>IFERROR('Historical FS'!H33/'Historical FS'!G33-1,0)</f>
        <v>-0.82862505348950144</v>
      </c>
      <c r="I8" s="60">
        <f>IFERROR('Historical FS'!I33/'Historical FS'!H33-1,0)</f>
        <v>6.1952157445306248</v>
      </c>
      <c r="J8" s="60">
        <f>IFERROR('Historical FS'!J33/'Historical FS'!I33-1,0)</f>
        <v>-0.7090436533357708</v>
      </c>
      <c r="K8" s="60">
        <f>IFERROR('Historical FS'!K33/'Historical FS'!J33-1,0)</f>
        <v>-7.7977655318184613</v>
      </c>
      <c r="L8" s="60">
        <f>IFERROR('Historical FS'!L33/'Historical FS'!K33-1,0)</f>
        <v>-0.39385526559318895</v>
      </c>
      <c r="M8" s="11"/>
      <c r="N8" s="58">
        <f t="shared" si="0"/>
        <v>-0.51597342010727287</v>
      </c>
      <c r="O8" s="58">
        <f t="shared" si="1"/>
        <v>-0.7090436533357708</v>
      </c>
    </row>
    <row r="9" spans="2:16" x14ac:dyDescent="0.3">
      <c r="B9" s="65" t="s">
        <v>167</v>
      </c>
      <c r="C9" s="66" t="s">
        <v>97</v>
      </c>
      <c r="D9" s="66">
        <f>IFERROR('Historical FS'!D41/'Historical FS'!C41-1,0)</f>
        <v>-1</v>
      </c>
      <c r="E9" s="66">
        <f>IFERROR('Historical FS'!E41/'Historical FS'!D41-1,0)</f>
        <v>0</v>
      </c>
      <c r="F9" s="66">
        <f>IFERROR('Historical FS'!F41/'Historical FS'!E41-1,0)</f>
        <v>0</v>
      </c>
      <c r="G9" s="66">
        <f>IFERROR('Historical FS'!G41/'Historical FS'!F41-1,0)</f>
        <v>0</v>
      </c>
      <c r="H9" s="66">
        <f>IFERROR('Historical FS'!H41/'Historical FS'!G41-1,0)</f>
        <v>0</v>
      </c>
      <c r="I9" s="66">
        <f>IFERROR('Historical FS'!I41/'Historical FS'!H41-1,0)</f>
        <v>0</v>
      </c>
      <c r="J9" s="66">
        <f>IFERROR('Historical FS'!J41/'Historical FS'!I41-1,0)</f>
        <v>0</v>
      </c>
      <c r="K9" s="66">
        <f>IFERROR('Historical FS'!K41/'Historical FS'!J41-1,0)</f>
        <v>2.0038380198950421</v>
      </c>
      <c r="L9" s="66">
        <f>IFERROR('Historical FS'!L41/'Historical FS'!K41-1,0)</f>
        <v>-4.0417209908735319E-2</v>
      </c>
      <c r="M9" s="65"/>
      <c r="N9" s="75">
        <f t="shared" si="0"/>
        <v>0.1070467566651452</v>
      </c>
      <c r="O9" s="75">
        <f t="shared" si="1"/>
        <v>0</v>
      </c>
    </row>
    <row r="10" spans="2:16" x14ac:dyDescent="0.3">
      <c r="B10" s="11"/>
      <c r="C10" s="60"/>
      <c r="D10" s="60"/>
      <c r="E10" s="60"/>
      <c r="F10" s="60"/>
      <c r="G10" s="60"/>
      <c r="H10" s="60"/>
      <c r="I10" s="60"/>
      <c r="J10" s="60"/>
      <c r="K10" s="60"/>
      <c r="L10" s="60"/>
      <c r="O10" s="57"/>
    </row>
    <row r="11" spans="2:16" x14ac:dyDescent="0.3">
      <c r="O11" s="57"/>
    </row>
    <row r="12" spans="2:16" x14ac:dyDescent="0.3">
      <c r="B12" s="63" t="s">
        <v>163</v>
      </c>
      <c r="C12" s="64">
        <f>IFERROR('Historical FS'!C13,0)</f>
        <v>0.24734524196690946</v>
      </c>
      <c r="D12" s="64">
        <f>IFERROR('Historical FS'!D13,0)</f>
        <v>0.23819078253229964</v>
      </c>
      <c r="E12" s="64">
        <f>IFERROR('Historical FS'!E13,0)</f>
        <v>0.21649990080619999</v>
      </c>
      <c r="F12" s="64">
        <f>IFERROR('Historical FS'!F13,0)</f>
        <v>0.19571167496416494</v>
      </c>
      <c r="G12" s="64">
        <f>IFERROR('Historical FS'!G13,0)</f>
        <v>0.19417127271491774</v>
      </c>
      <c r="H12" s="64">
        <f>IFERROR('Historical FS'!H13,0)</f>
        <v>0.2180538622208833</v>
      </c>
      <c r="I12" s="64">
        <f>IFERROR('Historical FS'!I13,0)</f>
        <v>0.19807108271747378</v>
      </c>
      <c r="J12" s="64">
        <f>IFERROR('Historical FS'!J13,0)</f>
        <v>0.20685017994636876</v>
      </c>
      <c r="K12" s="64">
        <f>IFERROR('Historical FS'!K13,0)</f>
        <v>0.22956757354567572</v>
      </c>
      <c r="L12" s="64">
        <f>IFERROR('Historical FS'!L13,0)</f>
        <v>0.22489680346603896</v>
      </c>
      <c r="M12" s="63"/>
      <c r="N12" s="67">
        <f>IFERROR(AVERAGE(C12:L12),0)</f>
        <v>0.2169358374880932</v>
      </c>
      <c r="O12" s="67">
        <f t="shared" si="1"/>
        <v>0.21727688151354163</v>
      </c>
    </row>
    <row r="13" spans="2:16" x14ac:dyDescent="0.3">
      <c r="B13" s="11" t="s">
        <v>168</v>
      </c>
      <c r="C13" s="60">
        <f>IFERROR('Historical FS'!C19,0)</f>
        <v>0.14061845347443788</v>
      </c>
      <c r="D13" s="60">
        <f>IFERROR('Historical FS'!D19,0)</f>
        <v>0.10971268723777329</v>
      </c>
      <c r="E13" s="60">
        <f>IFERROR('Historical FS'!E19,0)</f>
        <v>0.10789788444182975</v>
      </c>
      <c r="F13" s="60">
        <f>IFERROR('Historical FS'!F19,0)</f>
        <v>8.1686628795807431E-2</v>
      </c>
      <c r="G13" s="60">
        <f>IFERROR('Historical FS'!G19,0)</f>
        <v>6.8898034485042198E-2</v>
      </c>
      <c r="H13" s="60">
        <f>IFERROR('Historical FS'!H19,0)</f>
        <v>0.12925583904385496</v>
      </c>
      <c r="I13" s="60">
        <f>IFERROR('Historical FS'!I19,0)</f>
        <v>8.877632835227646E-2</v>
      </c>
      <c r="J13" s="60">
        <f>IFERROR('Historical FS'!J19,0)</f>
        <v>9.1961958102532049E-2</v>
      </c>
      <c r="K13" s="60">
        <f>IFERROR('Historical FS'!K19,0)</f>
        <v>0.13323011133230112</v>
      </c>
      <c r="L13" s="60">
        <f>IFERROR('Historical FS'!L19,0)</f>
        <v>0.12557795744777631</v>
      </c>
      <c r="M13" s="11"/>
      <c r="N13" s="58">
        <f t="shared" ref="N13:N53" si="2">IFERROR(AVERAGE(C13:L13),0)</f>
        <v>0.10776158827136313</v>
      </c>
      <c r="O13" s="58">
        <f t="shared" si="1"/>
        <v>0.10880528583980152</v>
      </c>
    </row>
    <row r="14" spans="2:16" x14ac:dyDescent="0.3">
      <c r="B14" s="11" t="s">
        <v>169</v>
      </c>
      <c r="C14" s="60">
        <f>IFERROR(('Historical FS'!C18-'Historical FS'!C24)/'Historical FS'!C6,0)</f>
        <v>7.941702777851016E-2</v>
      </c>
      <c r="D14" s="60">
        <f>IFERROR(('Historical FS'!D18-'Historical FS'!D24)/'Historical FS'!D6,0)</f>
        <v>4.3322300645279484E-2</v>
      </c>
      <c r="E14" s="60">
        <f>IFERROR(('Historical FS'!E18-'Historical FS'!E24)/'Historical FS'!E6,0)</f>
        <v>3.3970412259310953E-2</v>
      </c>
      <c r="F14" s="60">
        <f>IFERROR(('Historical FS'!F18-'Historical FS'!F24)/'Historical FS'!F6,0)</f>
        <v>3.5560233478087663E-3</v>
      </c>
      <c r="G14" s="60">
        <f>IFERROR(('Historical FS'!G18-'Historical FS'!G24)/'Historical FS'!G6,0)</f>
        <v>-1.3170363258273456E-2</v>
      </c>
      <c r="H14" s="60">
        <f>IFERROR(('Historical FS'!H18-'Historical FS'!H24)/'Historical FS'!H6,0)</f>
        <v>3.4991608110258483E-2</v>
      </c>
      <c r="I14" s="60">
        <f>IFERROR(('Historical FS'!I18-'Historical FS'!I24)/'Historical FS'!I6,0)</f>
        <v>-4.1514992694289269E-4</v>
      </c>
      <c r="J14" s="60">
        <f>IFERROR(('Historical FS'!J18-'Historical FS'!J24)/'Historical FS'!J6,0)</f>
        <v>2.0104346955433228E-2</v>
      </c>
      <c r="K14" s="60">
        <f>IFERROR(('Historical FS'!K18-'Historical FS'!K24)/'Historical FS'!K6,0)</f>
        <v>7.0469752267197525E-2</v>
      </c>
      <c r="L14" s="60">
        <f>IFERROR(('Historical FS'!L18-'Historical FS'!L24)/'Historical FS'!L6,0)</f>
        <v>7.2686748769033083E-2</v>
      </c>
      <c r="M14" s="11"/>
      <c r="N14" s="58">
        <f t="shared" si="2"/>
        <v>3.4493270694761533E-2</v>
      </c>
      <c r="O14" s="58">
        <f t="shared" si="1"/>
        <v>3.4481010184784722E-2</v>
      </c>
    </row>
    <row r="15" spans="2:16" x14ac:dyDescent="0.3">
      <c r="B15" s="11" t="s">
        <v>170</v>
      </c>
      <c r="C15" s="60">
        <f>IFERROR('Historical FS'!C28,0)</f>
        <v>6.1511300676516931E-2</v>
      </c>
      <c r="D15" s="60">
        <f>IFERROR('Historical FS'!D28,0)</f>
        <v>2.7608071132565179E-2</v>
      </c>
      <c r="E15" s="60">
        <f>IFERROR('Historical FS'!E28,0)</f>
        <v>1.7912163958707913E-2</v>
      </c>
      <c r="F15" s="60">
        <f>IFERROR('Historical FS'!F28,0)</f>
        <v>-1.5516078776333117E-2</v>
      </c>
      <c r="G15" s="60">
        <f>IFERROR('Historical FS'!G28,0)</f>
        <v>-4.0915360088026265E-2</v>
      </c>
      <c r="H15" s="60">
        <f>IFERROR('Historical FS'!H28,0)</f>
        <v>2.5763151547420113E-3</v>
      </c>
      <c r="I15" s="60">
        <f>IFERROR('Historical FS'!I28,0)</f>
        <v>-3.3856482095653805E-2</v>
      </c>
      <c r="J15" s="60">
        <f>IFERROR('Historical FS'!J28,0)</f>
        <v>-9.4518849588445895E-3</v>
      </c>
      <c r="K15" s="60">
        <f>IFERROR('Historical FS'!K28,0)</f>
        <v>5.2972701467227018E-2</v>
      </c>
      <c r="L15" s="60">
        <f>IFERROR('Historical FS'!L28,0)</f>
        <v>6.1126462661617711E-2</v>
      </c>
      <c r="M15" s="11"/>
      <c r="N15" s="58">
        <f t="shared" si="2"/>
        <v>1.2396720913251899E-2</v>
      </c>
      <c r="O15" s="58">
        <f t="shared" si="1"/>
        <v>1.0244239556724962E-2</v>
      </c>
    </row>
    <row r="16" spans="2:16" x14ac:dyDescent="0.3">
      <c r="B16" s="65" t="s">
        <v>171</v>
      </c>
      <c r="C16" s="66">
        <f>IFERROR('Historical FS'!C34,0)</f>
        <v>5.0432381990407359E-2</v>
      </c>
      <c r="D16" s="66">
        <f>IFERROR('Historical FS'!D34,0)</f>
        <v>1.5552749314395296E-2</v>
      </c>
      <c r="E16" s="66">
        <f>IFERROR('Historical FS'!E34,0)</f>
        <v>3.01961430487095E-3</v>
      </c>
      <c r="F16" s="66">
        <f>IFERROR('Historical FS'!F34,0)</f>
        <v>-7.4434056747998256E-3</v>
      </c>
      <c r="G16" s="66">
        <f>IFERROR('Historical FS'!G34,0)</f>
        <v>-4.2429333632923408E-2</v>
      </c>
      <c r="H16" s="66">
        <f>IFERROR('Historical FS'!H34,0)</f>
        <v>-7.5994791724005731E-3</v>
      </c>
      <c r="I16" s="66">
        <f>IFERROR('Historical FS'!I34,0)</f>
        <v>-4.9052154538339235E-2</v>
      </c>
      <c r="J16" s="66">
        <f>IFERROR('Historical FS'!J34,0)</f>
        <v>-1.1486934720964945E-2</v>
      </c>
      <c r="K16" s="66">
        <f>IFERROR('Historical FS'!K34,0)</f>
        <v>6.224424905994249E-2</v>
      </c>
      <c r="L16" s="66">
        <f>IFERROR('Historical FS'!L34,0)</f>
        <v>3.724172437712505E-2</v>
      </c>
      <c r="M16" s="65"/>
      <c r="N16" s="75">
        <f t="shared" si="2"/>
        <v>5.0479411307313166E-3</v>
      </c>
      <c r="O16" s="75">
        <f t="shared" si="1"/>
        <v>-2.2118956849644378E-3</v>
      </c>
    </row>
    <row r="17" spans="2:15" x14ac:dyDescent="0.3">
      <c r="B17" s="11"/>
      <c r="C17" s="60"/>
      <c r="D17" s="60"/>
      <c r="E17" s="60"/>
      <c r="F17" s="60"/>
      <c r="G17" s="60"/>
      <c r="H17" s="60"/>
      <c r="I17" s="60"/>
      <c r="J17" s="60"/>
      <c r="K17" s="60"/>
      <c r="L17" s="60"/>
      <c r="N17" s="57"/>
      <c r="O17" s="57"/>
    </row>
    <row r="18" spans="2:15" x14ac:dyDescent="0.3">
      <c r="N18" s="57"/>
      <c r="O18" s="57"/>
    </row>
    <row r="19" spans="2:15" x14ac:dyDescent="0.3">
      <c r="B19" s="63" t="s">
        <v>172</v>
      </c>
      <c r="C19" s="64">
        <f>IFERROR('Historical FS'!C16,0)</f>
        <v>0.10672678849247161</v>
      </c>
      <c r="D19" s="64">
        <f>IFERROR('Historical FS'!D16,0)</f>
        <v>0.12847809529452636</v>
      </c>
      <c r="E19" s="64">
        <f>IFERROR('Historical FS'!E16,0)</f>
        <v>0.10860201636437025</v>
      </c>
      <c r="F19" s="64">
        <f>IFERROR('Historical FS'!F16,0)</f>
        <v>0.11402504616835751</v>
      </c>
      <c r="G19" s="64">
        <f>IFERROR('Historical FS'!G16,0)</f>
        <v>0.12527323822987554</v>
      </c>
      <c r="H19" s="64">
        <f>IFERROR('Historical FS'!H16,0)</f>
        <v>8.8798023177028354E-2</v>
      </c>
      <c r="I19" s="64">
        <f>IFERROR('Historical FS'!I16,0)</f>
        <v>0.10929475436519734</v>
      </c>
      <c r="J19" s="64">
        <f>IFERROR('Historical FS'!J16,0)</f>
        <v>0.11488822184383672</v>
      </c>
      <c r="K19" s="64">
        <f>IFERROR('Historical FS'!K16,0)</f>
        <v>9.6337462213374622E-2</v>
      </c>
      <c r="L19" s="64">
        <f>IFERROR('Historical FS'!L16,0)</f>
        <v>9.9318846018262658E-2</v>
      </c>
      <c r="M19" s="63"/>
      <c r="N19" s="67">
        <f t="shared" si="2"/>
        <v>0.10917424921673009</v>
      </c>
      <c r="O19" s="67">
        <f t="shared" si="1"/>
        <v>0.1089483853647838</v>
      </c>
    </row>
    <row r="20" spans="2:15" x14ac:dyDescent="0.3">
      <c r="B20" s="11" t="s">
        <v>173</v>
      </c>
      <c r="C20" s="60">
        <f>IFERROR('Historical FS'!C25,0)</f>
        <v>6.1201425695927715E-2</v>
      </c>
      <c r="D20" s="60">
        <f>IFERROR('Historical FS'!D25,0)</f>
        <v>6.63903865924938E-2</v>
      </c>
      <c r="E20" s="60">
        <f>IFERROR('Historical FS'!E25,0)</f>
        <v>7.3927472182518786E-2</v>
      </c>
      <c r="F20" s="60">
        <f>IFERROR('Historical FS'!F25,0)</f>
        <v>7.8130605447998658E-2</v>
      </c>
      <c r="G20" s="60">
        <f>IFERROR('Historical FS'!G25,0)</f>
        <v>8.206839774331566E-2</v>
      </c>
      <c r="H20" s="60">
        <f>IFERROR('Historical FS'!H25,0)</f>
        <v>9.4264230933596482E-2</v>
      </c>
      <c r="I20" s="60">
        <f>IFERROR('Historical FS'!I25,0)</f>
        <v>8.9191478279219347E-2</v>
      </c>
      <c r="J20" s="60">
        <f>IFERROR('Historical FS'!J25,0)</f>
        <v>7.1857611147098821E-2</v>
      </c>
      <c r="K20" s="60">
        <f>IFERROR('Historical FS'!K25,0)</f>
        <v>6.2760359065103591E-2</v>
      </c>
      <c r="L20" s="60">
        <f>IFERROR('Historical FS'!L25,0)</f>
        <v>5.2891208678743216E-2</v>
      </c>
      <c r="M20" s="11"/>
      <c r="N20" s="58">
        <f t="shared" si="2"/>
        <v>7.3268317576601599E-2</v>
      </c>
      <c r="O20" s="58">
        <f t="shared" si="1"/>
        <v>7.2892541664808796E-2</v>
      </c>
    </row>
    <row r="21" spans="2:15" x14ac:dyDescent="0.3">
      <c r="B21" s="65" t="s">
        <v>174</v>
      </c>
      <c r="C21" s="66">
        <f>IFERROR('Ratio Anaysis'!C13,0)</f>
        <v>0.14061845347443788</v>
      </c>
      <c r="D21" s="66">
        <f>IFERROR('Ratio Anaysis'!D13,0)</f>
        <v>0.10971268723777329</v>
      </c>
      <c r="E21" s="66">
        <f>IFERROR('Ratio Anaysis'!E13,0)</f>
        <v>0.10789788444182975</v>
      </c>
      <c r="F21" s="66">
        <f>IFERROR('Ratio Anaysis'!F13,0)</f>
        <v>8.1686628795807431E-2</v>
      </c>
      <c r="G21" s="66">
        <f>IFERROR('Ratio Anaysis'!G13,0)</f>
        <v>6.8898034485042198E-2</v>
      </c>
      <c r="H21" s="66">
        <f>IFERROR('Ratio Anaysis'!H13,0)</f>
        <v>0.12925583904385496</v>
      </c>
      <c r="I21" s="66">
        <f>IFERROR('Ratio Anaysis'!I13,0)</f>
        <v>8.877632835227646E-2</v>
      </c>
      <c r="J21" s="66">
        <f>IFERROR('Ratio Anaysis'!J13,0)</f>
        <v>9.1961958102532049E-2</v>
      </c>
      <c r="K21" s="66">
        <f>IFERROR('Ratio Anaysis'!K13,0)</f>
        <v>0.13323011133230112</v>
      </c>
      <c r="L21" s="66">
        <f>IFERROR('Ratio Anaysis'!L13,0)</f>
        <v>0.12557795744777631</v>
      </c>
      <c r="M21" s="65"/>
      <c r="N21" s="75">
        <f t="shared" si="2"/>
        <v>0.10776158827136313</v>
      </c>
      <c r="O21" s="75">
        <f t="shared" si="1"/>
        <v>0.10880528583980152</v>
      </c>
    </row>
    <row r="22" spans="2:15" x14ac:dyDescent="0.3">
      <c r="N22" s="57"/>
      <c r="O22" s="57"/>
    </row>
    <row r="23" spans="2:15" x14ac:dyDescent="0.3">
      <c r="B23" s="63" t="s">
        <v>175</v>
      </c>
      <c r="C23" s="67">
        <f>IFERROR((('Historical FS'!C18-'Historical FS'!C24)/SUM('Historical FS'!C47,'Historical FS'!C48,'Historical FS'!C49)),0)</f>
        <v>0.1462081011853561</v>
      </c>
      <c r="D23" s="67">
        <f>IFERROR((('Historical FS'!D18-'Historical FS'!D24)/SUM('Historical FS'!D47,'Historical FS'!D48,'Historical FS'!D49)),0)</f>
        <v>8.5490986154773282E-2</v>
      </c>
      <c r="E23" s="67">
        <f>IFERROR((('Historical FS'!E18-'Historical FS'!E24)/SUM('Historical FS'!E47,'Historical FS'!E48,'Historical FS'!E49)),0)</f>
        <v>5.3716113570365424E-2</v>
      </c>
      <c r="F23" s="67">
        <f>IFERROR((('Historical FS'!F18-'Historical FS'!F24)/SUM('Historical FS'!F47,'Historical FS'!F48,'Historical FS'!F49)),0)</f>
        <v>6.4542733637543747E-3</v>
      </c>
      <c r="G23" s="67">
        <f>IFERROR((('Historical FS'!G18-'Historical FS'!G24)/SUM('Historical FS'!G47,'Historical FS'!G48,'Historical FS'!G49)),0)</f>
        <v>-1.8302177555437667E-2</v>
      </c>
      <c r="H23" s="67">
        <f>IFERROR((('Historical FS'!H18-'Historical FS'!H24)/SUM('Historical FS'!H47,'Historical FS'!H48,'Historical FS'!H49)),0)</f>
        <v>4.4284324706251613E-2</v>
      </c>
      <c r="I23" s="67">
        <f>IFERROR((('Historical FS'!I18-'Historical FS'!I24)/SUM('Historical FS'!I47,'Historical FS'!I48,'Historical FS'!I49)),0)</f>
        <v>-6.0520306054739361E-4</v>
      </c>
      <c r="J23" s="67">
        <f>IFERROR((('Historical FS'!J18-'Historical FS'!J24)/SUM('Historical FS'!J47,'Historical FS'!J48,'Historical FS'!J49)),0)</f>
        <v>3.8762956416083731E-2</v>
      </c>
      <c r="K23" s="67">
        <f>IFERROR((('Historical FS'!K18-'Historical FS'!K24)/SUM('Historical FS'!K47,'Historical FS'!K48,'Historical FS'!K49)),0)</f>
        <v>0.15914601783725843</v>
      </c>
      <c r="L23" s="67">
        <f>IFERROR((('Historical FS'!L18-'Historical FS'!L24)/SUM('Historical FS'!L47,'Historical FS'!L48,'Historical FS'!L49)),0)</f>
        <v>0.17028622578376421</v>
      </c>
      <c r="M23" s="63"/>
      <c r="N23" s="67">
        <f t="shared" si="2"/>
        <v>6.854416184016221E-2</v>
      </c>
      <c r="O23" s="67">
        <f t="shared" si="1"/>
        <v>4.9000219138308515E-2</v>
      </c>
    </row>
    <row r="24" spans="2:15" x14ac:dyDescent="0.3">
      <c r="B24" s="11" t="s">
        <v>176</v>
      </c>
      <c r="C24" s="68">
        <f>IFERROR('Historical FS'!C44,0)</f>
        <v>0.76475477971737327</v>
      </c>
      <c r="D24" s="68">
        <f>IFERROR('Historical FS'!D44,0)</f>
        <v>1</v>
      </c>
      <c r="E24" s="68">
        <f>IFERROR('Historical FS'!E44,0)</f>
        <v>1</v>
      </c>
      <c r="F24" s="68">
        <f>IFERROR('Historical FS'!F44,0)</f>
        <v>1</v>
      </c>
      <c r="G24" s="68">
        <f>IFERROR('Historical FS'!G44,0)</f>
        <v>1</v>
      </c>
      <c r="H24" s="68">
        <f>IFERROR('Historical FS'!H44,0)</f>
        <v>1</v>
      </c>
      <c r="I24" s="68">
        <f>IFERROR('Historical FS'!I44,0)</f>
        <v>1</v>
      </c>
      <c r="J24" s="68">
        <f>IFERROR('Historical FS'!J44,0)</f>
        <v>-1.3063860536536898</v>
      </c>
      <c r="K24" s="68">
        <f>IFERROR('Historical FS'!K44,0)</f>
        <v>-5.9230074916508713</v>
      </c>
      <c r="L24" s="68">
        <f>IFERROR('Historical FS'!L44,0)</f>
        <v>-4.9978811832776469</v>
      </c>
      <c r="M24" s="11"/>
      <c r="N24" s="58">
        <f t="shared" si="2"/>
        <v>-0.54625199488648346</v>
      </c>
      <c r="O24" s="58">
        <f t="shared" si="1"/>
        <v>1</v>
      </c>
    </row>
    <row r="25" spans="2:15" x14ac:dyDescent="0.3">
      <c r="B25" s="11" t="s">
        <v>177</v>
      </c>
      <c r="C25" s="58">
        <f>IFERROR('Historical FS'!C33/SUM('Historical FS'!C47:C48),0)</f>
        <v>0.17441316864171685</v>
      </c>
      <c r="D25" s="58">
        <f>IFERROR('Historical FS'!D33/SUM('Historical FS'!D47:D48),0)</f>
        <v>7.2241189530689517E-2</v>
      </c>
      <c r="E25" s="58">
        <f>IFERROR('Historical FS'!E33/SUM('Historical FS'!E47:E48),0)</f>
        <v>9.2254980749341738E-3</v>
      </c>
      <c r="F25" s="58">
        <f>IFERROR('Historical FS'!F33/SUM('Historical FS'!F47:F48),0)</f>
        <v>-3.7345736658758885E-2</v>
      </c>
      <c r="G25" s="58">
        <f>IFERROR('Historical FS'!G33/SUM('Historical FS'!G47:G48),0)</f>
        <v>-0.17560555073176307</v>
      </c>
      <c r="H25" s="58">
        <f>IFERROR('Historical FS'!H33/SUM('Historical FS'!H47:H48),0)</f>
        <v>-3.4360591904822733E-2</v>
      </c>
      <c r="I25" s="58">
        <f>IFERROR('Historical FS'!I33/SUM('Historical FS'!I47:I48),0)</f>
        <v>-0.30651638060341208</v>
      </c>
      <c r="J25" s="58">
        <f>IFERROR('Historical FS'!J33/SUM('Historical FS'!J47:J48),0)</f>
        <v>-8.7686298356707396E-2</v>
      </c>
      <c r="K25" s="58">
        <f>IFERROR('Historical FS'!K33/SUM('Historical FS'!K47:K48),0)</f>
        <v>0.31813043171059141</v>
      </c>
      <c r="L25" s="58">
        <f>IFERROR('Historical FS'!L33/SUM('Historical FS'!L47:L48),0)</f>
        <v>0.14098877255820361</v>
      </c>
      <c r="M25" s="11"/>
      <c r="N25" s="58">
        <f t="shared" si="2"/>
        <v>7.348450226067141E-3</v>
      </c>
      <c r="O25" s="58">
        <f t="shared" si="1"/>
        <v>-1.2567546914944279E-2</v>
      </c>
    </row>
    <row r="26" spans="2:15" x14ac:dyDescent="0.3">
      <c r="B26" s="11" t="s">
        <v>178</v>
      </c>
      <c r="C26" s="58">
        <f>IFERROR(C24*C25,0)</f>
        <v>0.13338330436440524</v>
      </c>
      <c r="D26" s="58">
        <f>IFERROR(D24*D25,0)</f>
        <v>7.2241189530689517E-2</v>
      </c>
      <c r="E26" s="58">
        <f t="shared" ref="E26:L26" si="3">IFERROR(E24*E25,0)</f>
        <v>9.2254980749341738E-3</v>
      </c>
      <c r="F26" s="58">
        <f t="shared" si="3"/>
        <v>-3.7345736658758885E-2</v>
      </c>
      <c r="G26" s="58">
        <f t="shared" si="3"/>
        <v>-0.17560555073176307</v>
      </c>
      <c r="H26" s="58">
        <f t="shared" si="3"/>
        <v>-3.4360591904822733E-2</v>
      </c>
      <c r="I26" s="58">
        <f t="shared" si="3"/>
        <v>-0.30651638060341208</v>
      </c>
      <c r="J26" s="58">
        <f t="shared" si="3"/>
        <v>0.114552157269719</v>
      </c>
      <c r="K26" s="58">
        <f t="shared" si="3"/>
        <v>-1.8842889303439587</v>
      </c>
      <c r="L26" s="58">
        <f t="shared" si="3"/>
        <v>-0.7046451334220577</v>
      </c>
      <c r="M26" s="11"/>
      <c r="N26" s="58">
        <f t="shared" si="2"/>
        <v>-0.28133601744250247</v>
      </c>
      <c r="O26" s="58">
        <f t="shared" si="1"/>
        <v>-3.5853164281790806E-2</v>
      </c>
    </row>
    <row r="27" spans="2:15" x14ac:dyDescent="0.3">
      <c r="B27" s="65" t="s">
        <v>179</v>
      </c>
      <c r="C27" s="69">
        <f>IFERROR(('Historical FS'!C18-'Historical FS'!C24)/'Historical FS'!C21,0)</f>
        <v>4.4352863933500721</v>
      </c>
      <c r="D27" s="69">
        <f>IFERROR(('Historical FS'!D18-'Historical FS'!D24)/'Historical FS'!D21,0)</f>
        <v>2.7568835373205922</v>
      </c>
      <c r="E27" s="69">
        <f>IFERROR(('Historical FS'!E18-'Historical FS'!E24)/'Historical FS'!E21,0)</f>
        <v>2.1154494328024094</v>
      </c>
      <c r="F27" s="69">
        <f>IFERROR(('Historical FS'!F18-'Historical FS'!F24)/'Historical FS'!F21,0)</f>
        <v>0.18645156808947008</v>
      </c>
      <c r="G27" s="69">
        <f>IFERROR(('Historical FS'!G18-'Historical FS'!G24)/'Historical FS'!G21,0)</f>
        <v>-0.47469326953211261</v>
      </c>
      <c r="H27" s="69">
        <f>IFERROR(('Historical FS'!H18-'Historical FS'!H24)/'Historical FS'!H21,0)</f>
        <v>1.079478385658198</v>
      </c>
      <c r="I27" s="69">
        <f>IFERROR(('Historical FS'!I18-'Historical FS'!I24)/'Historical FS'!I21,0)</f>
        <v>-1.2414275987824557E-2</v>
      </c>
      <c r="J27" s="69">
        <f>IFERROR(('Historical FS'!J18-'Historical FS'!J24)/'Historical FS'!J21,0)</f>
        <v>0.68020669934320532</v>
      </c>
      <c r="K27" s="69">
        <f>IFERROR(('Historical FS'!K18-'Historical FS'!K24)/'Historical FS'!K21,0)</f>
        <v>4.0275217276797468</v>
      </c>
      <c r="L27" s="69">
        <f>IFERROR(('Historical FS'!L18-'Historical FS'!L24)/'Historical FS'!L21,0)</f>
        <v>6.2876254180602009</v>
      </c>
      <c r="M27" s="65"/>
      <c r="N27" s="69">
        <f t="shared" si="2"/>
        <v>2.108179561678396</v>
      </c>
      <c r="O27" s="69">
        <f t="shared" si="1"/>
        <v>1.5974639092303038</v>
      </c>
    </row>
    <row r="28" spans="2:15" x14ac:dyDescent="0.3">
      <c r="N28" s="57"/>
      <c r="O28" s="57"/>
    </row>
    <row r="29" spans="2:15" x14ac:dyDescent="0.3">
      <c r="B29" s="63" t="s">
        <v>181</v>
      </c>
      <c r="C29" s="70">
        <f>IFERROR('Historical FS'!C6/'Historical FS'!C59,0)</f>
        <v>20.119918266350599</v>
      </c>
      <c r="D29" s="70">
        <f>IFERROR('Historical FS'!D6/'Historical FS'!D59,0)</f>
        <v>19.160353236640844</v>
      </c>
      <c r="E29" s="70">
        <f>IFERROR('Historical FS'!E6/'Historical FS'!E59,0)</f>
        <v>14.655712224718874</v>
      </c>
      <c r="F29" s="70">
        <f>IFERROR('Historical FS'!F6/'Historical FS'!F59,0)</f>
        <v>15.894698773489607</v>
      </c>
      <c r="G29" s="70">
        <f>IFERROR('Historical FS'!G6/'Historical FS'!G59,0)</f>
        <v>23.366617170976728</v>
      </c>
      <c r="H29" s="70">
        <f>IFERROR('Historical FS'!H6/'Historical FS'!H59,0)</f>
        <v>19.701330853658153</v>
      </c>
      <c r="I29" s="70">
        <f>IFERROR('Historical FS'!I6/'Historical FS'!I59,0)</f>
        <v>22.379917570317598</v>
      </c>
      <c r="J29" s="70">
        <f>IFERROR('Historical FS'!J6/'Historical FS'!J59,0)</f>
        <v>21.982947610142858</v>
      </c>
      <c r="K29" s="70">
        <f>IFERROR('Historical FS'!K6/'Historical FS'!K59,0)</f>
        <v>25.602642756016991</v>
      </c>
      <c r="L29" s="70">
        <f>IFERROR('Historical FS'!L6/'Historical FS'!L59,0)</f>
        <v>33.189538043478258</v>
      </c>
      <c r="M29" s="63"/>
      <c r="N29" s="70">
        <f t="shared" si="2"/>
        <v>21.605367650579048</v>
      </c>
      <c r="O29" s="70">
        <f t="shared" si="1"/>
        <v>21.051432938246727</v>
      </c>
    </row>
    <row r="30" spans="2:15" x14ac:dyDescent="0.3">
      <c r="B30" s="11" t="s">
        <v>180</v>
      </c>
      <c r="C30" s="71">
        <f>IFERROR('Historical FS'!C6/'Historical FS'!C50,0)</f>
        <v>2.3769603927858673</v>
      </c>
      <c r="D30" s="71">
        <f>IFERROR('Historical FS'!D6/'Historical FS'!D50,0)</f>
        <v>1.9842807783040648</v>
      </c>
      <c r="E30" s="71">
        <f>IFERROR('Historical FS'!E6/'Historical FS'!E50,0)</f>
        <v>2.0414780318629697</v>
      </c>
      <c r="F30" s="71">
        <f>IFERROR('Historical FS'!F6/'Historical FS'!F50,0)</f>
        <v>2.1667847518227492</v>
      </c>
      <c r="G30" s="71">
        <f>IFERROR('Historical FS'!G6/'Historical FS'!G50,0)</f>
        <v>1.9731057108276859</v>
      </c>
      <c r="H30" s="71">
        <f>IFERROR('Historical FS'!H6/'Historical FS'!H50,0)</f>
        <v>1.7323684804395676</v>
      </c>
      <c r="I30" s="71">
        <f>IFERROR('Historical FS'!I6/'Historical FS'!I50,0)</f>
        <v>2.0170312149360217</v>
      </c>
      <c r="J30" s="71">
        <f>IFERROR('Historical FS'!J6/'Historical FS'!J50,0)</f>
        <v>2.2286057258733614</v>
      </c>
      <c r="K30" s="71">
        <f>IFERROR('Historical FS'!K6/'Historical FS'!K50,0)</f>
        <v>2.4473804408505742</v>
      </c>
      <c r="L30" s="71">
        <f>IFERROR('Historical FS'!L6/'Historical FS'!L50,0)</f>
        <v>2.3228766594994954</v>
      </c>
      <c r="M30" s="11"/>
      <c r="N30" s="71">
        <f t="shared" si="2"/>
        <v>2.1290872187202359</v>
      </c>
      <c r="O30" s="71">
        <f t="shared" si="1"/>
        <v>2.1041313918428592</v>
      </c>
    </row>
    <row r="31" spans="2:15" x14ac:dyDescent="0.3">
      <c r="B31" s="11" t="s">
        <v>47</v>
      </c>
      <c r="C31" s="71">
        <f>IFERROR('Historical FS'!C6/'Historical FS'!C60,0)</f>
        <v>8.3613381173839922</v>
      </c>
      <c r="D31" s="71">
        <f>IFERROR('Historical FS'!D6/'Historical FS'!D60,0)</f>
        <v>7.6867643466738649</v>
      </c>
      <c r="E31" s="71">
        <f>IFERROR('Historical FS'!E6/'Historical FS'!E60,0)</f>
        <v>6.9190051742350009</v>
      </c>
      <c r="F31" s="71">
        <f>IFERROR('Historical FS'!F6/'Historical FS'!F60,0)</f>
        <v>7.7392856309817084</v>
      </c>
      <c r="G31" s="71">
        <f>IFERROR('Historical FS'!G6/'Historical FS'!G60,0)</f>
        <v>6.9698269049637886</v>
      </c>
      <c r="H31" s="71">
        <f>IFERROR('Historical FS'!H6/'Historical FS'!H60,0)</f>
        <v>6.9217098811563442</v>
      </c>
      <c r="I31" s="71">
        <f>IFERROR('Historical FS'!I6/'Historical FS'!I60,0)</f>
        <v>7.9015588385356104</v>
      </c>
      <c r="J31" s="71">
        <f>IFERROR('Historical FS'!J6/'Historical FS'!J60,0)</f>
        <v>8.4888641723217457</v>
      </c>
      <c r="K31" s="71">
        <f>IFERROR('Historical FS'!K6/'Historical FS'!K60,0)</f>
        <v>9.0821126642671803</v>
      </c>
      <c r="L31" s="71">
        <f>IFERROR('Historical FS'!L6/'Historical FS'!L60,0)</f>
        <v>9.3019738094734397</v>
      </c>
      <c r="M31" s="11"/>
      <c r="N31" s="71">
        <f t="shared" si="2"/>
        <v>7.9372439539992667</v>
      </c>
      <c r="O31" s="71">
        <f t="shared" si="1"/>
        <v>7.8204222347586594</v>
      </c>
    </row>
    <row r="32" spans="2:15" x14ac:dyDescent="0.3">
      <c r="B32" s="11" t="s">
        <v>182</v>
      </c>
      <c r="C32" s="71">
        <f>IFERROR('Historical FS'!C6/'Historical FS'!C53,0)</f>
        <v>2.546312771514708</v>
      </c>
      <c r="D32" s="71">
        <f>IFERROR('Historical FS'!D6/'Historical FS'!D53,0)</f>
        <v>2.8109343484246239</v>
      </c>
      <c r="E32" s="71">
        <f>IFERROR('Historical FS'!E6/'Historical FS'!E53,0)</f>
        <v>2.4012948768781421</v>
      </c>
      <c r="F32" s="71">
        <f>IFERROR('Historical FS'!F6/'Historical FS'!F53,0)</f>
        <v>2.7144319562092578</v>
      </c>
      <c r="G32" s="71">
        <f>IFERROR('Historical FS'!G6/'Historical FS'!G53,0)</f>
        <v>2.0539205744067566</v>
      </c>
      <c r="H32" s="71">
        <f>IFERROR('Historical FS'!H6/'Historical FS'!H53,0)</f>
        <v>1.8008727134726064</v>
      </c>
      <c r="I32" s="71">
        <f>IFERROR('Historical FS'!I6/'Historical FS'!I53,0)</f>
        <v>2.0053488717943728</v>
      </c>
      <c r="J32" s="71">
        <f>IFERROR('Historical FS'!J6/'Historical FS'!J53,0)</f>
        <v>2.6193791539294131</v>
      </c>
      <c r="K32" s="71">
        <f>IFERROR('Historical FS'!K6/'Historical FS'!K53,0)</f>
        <v>3.5784804386362699</v>
      </c>
      <c r="L32" s="71">
        <f>IFERROR('Historical FS'!L6/'Historical FS'!L53,0)</f>
        <v>3.8004010475638954</v>
      </c>
      <c r="M32" s="11"/>
      <c r="N32" s="71">
        <f t="shared" si="2"/>
        <v>2.6331376752830042</v>
      </c>
      <c r="O32" s="71">
        <f t="shared" si="1"/>
        <v>2.5828459627220606</v>
      </c>
    </row>
    <row r="33" spans="2:15" x14ac:dyDescent="0.3">
      <c r="B33" s="65" t="s">
        <v>183</v>
      </c>
      <c r="C33" s="69">
        <f>IFERROR('Historical FS'!C6/SUM('Historical FS'!C47:C48),0)</f>
        <v>3.4583567493379874</v>
      </c>
      <c r="D33" s="69">
        <f>IFERROR('Historical FS'!D6/SUM('Historical FS'!D47:D48),0)</f>
        <v>4.6449144180459854</v>
      </c>
      <c r="E33" s="69">
        <f>IFERROR('Historical FS'!E6/SUM('Historical FS'!E47:E48),0)</f>
        <v>3.0551908765475422</v>
      </c>
      <c r="F33" s="69">
        <f>IFERROR('Historical FS'!F6/SUM('Historical FS'!F47:F48),0)</f>
        <v>5.0172915853821474</v>
      </c>
      <c r="G33" s="69">
        <f>IFERROR('Historical FS'!G6/SUM('Historical FS'!G47:G48),0)</f>
        <v>4.1387770133514525</v>
      </c>
      <c r="H33" s="69">
        <f>IFERROR('Historical FS'!H6/SUM('Historical FS'!H47:H48),0)</f>
        <v>4.5214403678625628</v>
      </c>
      <c r="I33" s="69">
        <f>IFERROR('Historical FS'!I6/SUM('Historical FS'!I47:I48),0)</f>
        <v>6.2487852671963351</v>
      </c>
      <c r="J33" s="69">
        <f>IFERROR('Historical FS'!J6/SUM('Historical FS'!J47:J48),0)</f>
        <v>7.6335680916398054</v>
      </c>
      <c r="K33" s="69">
        <f>IFERROR('Historical FS'!K6/SUM('Historical FS'!K47:K48),0)</f>
        <v>5.1110012011587651</v>
      </c>
      <c r="L33" s="69">
        <f>IFERROR('Historical FS'!L6/SUM('Historical FS'!L47:L48),0)</f>
        <v>3.7857745557239291</v>
      </c>
      <c r="M33" s="65"/>
      <c r="N33" s="69">
        <f t="shared" si="2"/>
        <v>4.7615100126246501</v>
      </c>
      <c r="O33" s="69">
        <f t="shared" si="1"/>
        <v>4.5831773929542745</v>
      </c>
    </row>
    <row r="34" spans="2:15" x14ac:dyDescent="0.3">
      <c r="N34" s="57"/>
      <c r="O34" s="57"/>
    </row>
    <row r="35" spans="2:15" x14ac:dyDescent="0.3">
      <c r="B35" s="63" t="s">
        <v>46</v>
      </c>
      <c r="C35" s="72">
        <f>IFERROR(365/C29,0)</f>
        <v>18.141226776772818</v>
      </c>
      <c r="D35" s="72">
        <f t="shared" ref="D35:L35" si="4">IFERROR(365/D29,0)</f>
        <v>19.049753180019717</v>
      </c>
      <c r="E35" s="72">
        <f t="shared" si="4"/>
        <v>24.904964999543136</v>
      </c>
      <c r="F35" s="72">
        <f t="shared" si="4"/>
        <v>22.963631157878556</v>
      </c>
      <c r="G35" s="72">
        <f t="shared" si="4"/>
        <v>15.620575170519771</v>
      </c>
      <c r="H35" s="72">
        <f t="shared" si="4"/>
        <v>18.52666719376608</v>
      </c>
      <c r="I35" s="72">
        <f t="shared" si="4"/>
        <v>16.309264717046954</v>
      </c>
      <c r="J35" s="72">
        <f t="shared" si="4"/>
        <v>16.603778823163378</v>
      </c>
      <c r="K35" s="72">
        <f t="shared" si="4"/>
        <v>14.256340780063407</v>
      </c>
      <c r="L35" s="72">
        <f t="shared" si="4"/>
        <v>10.997441408248902</v>
      </c>
      <c r="M35" s="63"/>
      <c r="N35" s="72">
        <f t="shared" si="2"/>
        <v>17.737364420702271</v>
      </c>
      <c r="O35" s="72">
        <f t="shared" si="1"/>
        <v>17.372502799968096</v>
      </c>
    </row>
    <row r="36" spans="2:15" x14ac:dyDescent="0.3">
      <c r="B36" s="11" t="s">
        <v>184</v>
      </c>
      <c r="C36" s="73">
        <f>IFERROR(365/C30,0)</f>
        <v>153.55745981623585</v>
      </c>
      <c r="D36" s="73">
        <f t="shared" ref="D36:L36" si="5">IFERROR(365/D30,0)</f>
        <v>183.94574194885871</v>
      </c>
      <c r="E36" s="73">
        <f t="shared" si="5"/>
        <v>178.79202925682029</v>
      </c>
      <c r="F36" s="73">
        <f t="shared" si="5"/>
        <v>168.45235766633192</v>
      </c>
      <c r="G36" s="73">
        <f t="shared" si="5"/>
        <v>184.98755439052903</v>
      </c>
      <c r="H36" s="73">
        <f t="shared" si="5"/>
        <v>210.69420514242194</v>
      </c>
      <c r="I36" s="73">
        <f t="shared" si="5"/>
        <v>180.95902398395825</v>
      </c>
      <c r="J36" s="73">
        <f t="shared" si="5"/>
        <v>163.77953074537726</v>
      </c>
      <c r="K36" s="73">
        <f t="shared" si="5"/>
        <v>149.13905247732802</v>
      </c>
      <c r="L36" s="73">
        <f t="shared" si="5"/>
        <v>157.13275111156597</v>
      </c>
      <c r="M36" s="11"/>
      <c r="N36" s="73">
        <f t="shared" si="2"/>
        <v>173.14397065394274</v>
      </c>
      <c r="O36" s="73">
        <f t="shared" si="1"/>
        <v>173.6221934615761</v>
      </c>
    </row>
    <row r="37" spans="2:15" x14ac:dyDescent="0.3">
      <c r="B37" s="11" t="s">
        <v>185</v>
      </c>
      <c r="C37" s="73">
        <f>IFERROR(365/C31,0)</f>
        <v>43.653299851746382</v>
      </c>
      <c r="D37" s="73">
        <f t="shared" ref="D37:L37" si="6">IFERROR(365/D31,0)</f>
        <v>47.484218786795374</v>
      </c>
      <c r="E37" s="73">
        <f t="shared" si="6"/>
        <v>52.753248596949661</v>
      </c>
      <c r="F37" s="73">
        <f t="shared" si="6"/>
        <v>47.161975588398164</v>
      </c>
      <c r="G37" s="73">
        <f t="shared" si="6"/>
        <v>52.368588915752468</v>
      </c>
      <c r="H37" s="73">
        <f t="shared" si="6"/>
        <v>52.732634893247351</v>
      </c>
      <c r="I37" s="73">
        <f t="shared" si="6"/>
        <v>46.193416698982041</v>
      </c>
      <c r="J37" s="73">
        <f t="shared" si="6"/>
        <v>42.997507392107408</v>
      </c>
      <c r="K37" s="73">
        <f t="shared" si="6"/>
        <v>40.188887045638872</v>
      </c>
      <c r="L37" s="73">
        <f t="shared" si="6"/>
        <v>39.238983841071651</v>
      </c>
      <c r="M37" s="11"/>
      <c r="N37" s="73">
        <f t="shared" si="2"/>
        <v>46.477276161068936</v>
      </c>
      <c r="O37" s="73">
        <f t="shared" si="1"/>
        <v>46.677696143690099</v>
      </c>
    </row>
    <row r="38" spans="2:15" x14ac:dyDescent="0.3">
      <c r="B38" s="65" t="s">
        <v>186</v>
      </c>
      <c r="C38" s="74">
        <f>IFERROR(C35+C37-C36,0)</f>
        <v>-91.762933187716641</v>
      </c>
      <c r="D38" s="74">
        <f t="shared" ref="D38:L38" si="7">IFERROR(D35+D37-D36,0)</f>
        <v>-117.41176998204362</v>
      </c>
      <c r="E38" s="74">
        <f t="shared" si="7"/>
        <v>-101.13381566032749</v>
      </c>
      <c r="F38" s="74">
        <f t="shared" si="7"/>
        <v>-98.326750920055204</v>
      </c>
      <c r="G38" s="74">
        <f t="shared" si="7"/>
        <v>-116.99839030425679</v>
      </c>
      <c r="H38" s="74">
        <f t="shared" si="7"/>
        <v>-139.43490305540851</v>
      </c>
      <c r="I38" s="74">
        <f t="shared" si="7"/>
        <v>-118.45634256792925</v>
      </c>
      <c r="J38" s="74">
        <f t="shared" si="7"/>
        <v>-104.17824453010647</v>
      </c>
      <c r="K38" s="74">
        <f t="shared" si="7"/>
        <v>-94.693824651625746</v>
      </c>
      <c r="L38" s="74">
        <f t="shared" si="7"/>
        <v>-106.89632586224542</v>
      </c>
      <c r="M38" s="65"/>
      <c r="N38" s="74">
        <f t="shared" si="2"/>
        <v>-108.92933007217152</v>
      </c>
      <c r="O38" s="74">
        <f t="shared" si="1"/>
        <v>-105.53728519617594</v>
      </c>
    </row>
    <row r="39" spans="2:15" x14ac:dyDescent="0.3">
      <c r="N39" s="57"/>
      <c r="O39" s="57"/>
    </row>
    <row r="40" spans="2:15" x14ac:dyDescent="0.3">
      <c r="B40" s="63" t="s">
        <v>189</v>
      </c>
      <c r="C40" s="67">
        <f>IFERROR('Historical FS'!C78/'Historical FS'!C6,0)</f>
        <v>0.14360971207739662</v>
      </c>
      <c r="D40" s="67">
        <f>IFERROR('Historical FS'!D78/'Historical FS'!D6,0)</f>
        <v>0.12404497255040564</v>
      </c>
      <c r="E40" s="67">
        <f>IFERROR('Historical FS'!E78/'Historical FS'!E6,0)</f>
        <v>5.9759805574664121E-2</v>
      </c>
      <c r="F40" s="67">
        <f>IFERROR('Historical FS'!F78/'Historical FS'!F6,0)</f>
        <v>3.8653579670555313E-2</v>
      </c>
      <c r="G40" s="67">
        <f>IFERROR('Historical FS'!G78/'Historical FS'!G6,0)</f>
        <v>0.12141665635964458</v>
      </c>
      <c r="H40" s="67">
        <f>IFERROR('Historical FS'!H78/'Historical FS'!H6,0)</f>
        <v>0.11572300859005244</v>
      </c>
      <c r="I40" s="67">
        <f>IFERROR('Historical FS'!I78/'Historical FS'!I6,0)</f>
        <v>1.2684338598291522E-2</v>
      </c>
      <c r="J40" s="67">
        <f>IFERROR('Historical FS'!J78/'Historical FS'!J6,0)</f>
        <v>9.3248786148573667E-2</v>
      </c>
      <c r="K40" s="67">
        <f>IFERROR('Historical FS'!K78/'Historical FS'!K6,0)</f>
        <v>0.17335766423357665</v>
      </c>
      <c r="L40" s="67">
        <f>IFERROR('Historical FS'!L78/'Historical FS'!L6,0)</f>
        <v>0.16206233866657568</v>
      </c>
      <c r="M40" s="63"/>
      <c r="N40" s="67">
        <f t="shared" si="2"/>
        <v>0.10445608624697363</v>
      </c>
      <c r="O40" s="67">
        <f t="shared" si="1"/>
        <v>0.11856983247484851</v>
      </c>
    </row>
    <row r="41" spans="2:15" x14ac:dyDescent="0.3">
      <c r="B41" s="11" t="s">
        <v>187</v>
      </c>
      <c r="C41" s="58">
        <f>IFERROR('Historical FS'!C78/'Historical FS'!C62,0)</f>
        <v>0.51132499050687041</v>
      </c>
      <c r="D41" s="58">
        <f>IFERROR('Historical FS'!D78/'Historical FS'!D62,0)</f>
        <v>0.3924741262013024</v>
      </c>
      <c r="E41" s="58">
        <f>IFERROR('Historical FS'!E78/'Historical FS'!E62,0)</f>
        <v>0.18027863670735034</v>
      </c>
      <c r="F41" s="58">
        <f>IFERROR('Historical FS'!F78/'Historical FS'!F62,0)</f>
        <v>0.12873554799803041</v>
      </c>
      <c r="G41" s="58">
        <f>IFERROR('Historical FS'!G78/'Historical FS'!G62,0)</f>
        <v>0.38488746613201569</v>
      </c>
      <c r="H41" s="58">
        <f>IFERROR('Historical FS'!H78/'Historical FS'!H62,0)</f>
        <v>0.30250063494053431</v>
      </c>
      <c r="I41" s="58">
        <f>IFERROR('Historical FS'!I78/'Historical FS'!I62,0)</f>
        <v>3.9976616169590494E-2</v>
      </c>
      <c r="J41" s="58">
        <f>IFERROR('Historical FS'!J78/'Historical FS'!J62,0)</f>
        <v>0.34500451935494497</v>
      </c>
      <c r="K41" s="58">
        <f>IFERROR('Historical FS'!K78/'Historical FS'!K62,0)</f>
        <v>0.68061548481641287</v>
      </c>
      <c r="L41" s="58">
        <f>IFERROR('Historical FS'!L78/'Historical FS'!L62,0)</f>
        <v>0.70308137068208498</v>
      </c>
      <c r="M41" s="11"/>
      <c r="N41" s="58">
        <f t="shared" si="2"/>
        <v>0.36688793935091368</v>
      </c>
      <c r="O41" s="58">
        <f t="shared" si="1"/>
        <v>0.36494599274348033</v>
      </c>
    </row>
    <row r="42" spans="2:15" x14ac:dyDescent="0.3">
      <c r="B42" s="65" t="s">
        <v>188</v>
      </c>
      <c r="C42" s="75">
        <f>IFERROR('Historical FS'!C78/'Historical FS'!C49,0)</f>
        <v>0.56534057978118779</v>
      </c>
      <c r="D42" s="75">
        <f>IFERROR('Historical FS'!D78/'Historical FS'!D49,0)</f>
        <v>0.42560185883717339</v>
      </c>
      <c r="E42" s="75">
        <f>IFERROR('Historical FS'!E78/'Historical FS'!E49,0)</f>
        <v>0.19587305159826587</v>
      </c>
      <c r="F42" s="75">
        <f>IFERROR('Historical FS'!F78/'Historical FS'!F49,0)</f>
        <v>0.1099219460940742</v>
      </c>
      <c r="G42" s="75">
        <f>IFERROR('Historical FS'!G78/'Historical FS'!G49,0)</f>
        <v>0.25401554192386361</v>
      </c>
      <c r="H42" s="75">
        <f>IFERROR('Historical FS'!H78/'Historical FS'!H49,0)</f>
        <v>0.20338341005738594</v>
      </c>
      <c r="I42" s="75">
        <f>IFERROR('Historical FS'!I78/'Historical FS'!I49,0)</f>
        <v>2.4117605968438302E-2</v>
      </c>
      <c r="J42" s="75">
        <f>IFERROR('Historical FS'!J78/'Historical FS'!J49,0)</f>
        <v>0.24055008953614193</v>
      </c>
      <c r="K42" s="75">
        <f>IFERROR('Historical FS'!K78/'Historical FS'!K49,0)</f>
        <v>0.70144689737470167</v>
      </c>
      <c r="L42" s="75">
        <f>IFERROR('Historical FS'!L78/'Historical FS'!L49,0)</f>
        <v>0.99605814928711212</v>
      </c>
      <c r="M42" s="65"/>
      <c r="N42" s="75">
        <f t="shared" si="2"/>
        <v>0.37163091304583445</v>
      </c>
      <c r="O42" s="75">
        <f t="shared" si="1"/>
        <v>0.24728281573000277</v>
      </c>
    </row>
    <row r="43" spans="2:15" x14ac:dyDescent="0.3">
      <c r="N43" s="57"/>
      <c r="O43" s="57"/>
    </row>
    <row r="44" spans="2:15" x14ac:dyDescent="0.3">
      <c r="B44" s="77" t="s">
        <v>190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78"/>
      <c r="N44" s="79"/>
      <c r="O44" s="79"/>
    </row>
    <row r="45" spans="2:15" x14ac:dyDescent="0.3">
      <c r="B45" s="11" t="s">
        <v>191</v>
      </c>
      <c r="C45" s="58">
        <f>IFERROR('Historical FS'!C33/'Historical FS'!C64,0)</f>
        <v>5.2322077791015546E-2</v>
      </c>
      <c r="D45" s="58">
        <f>IFERROR('Historical FS'!D33/'Historical FS'!D64,0)</f>
        <v>1.5387975861503913E-2</v>
      </c>
      <c r="E45" s="58">
        <f>IFERROR('Historical FS'!E33/'Historical FS'!E64,0)</f>
        <v>2.6906847087645371E-3</v>
      </c>
      <c r="F45" s="58">
        <f>IFERROR('Historical FS'!F33/'Historical FS'!F64,0)</f>
        <v>-7.3517315749322323E-3</v>
      </c>
      <c r="G45" s="58">
        <f>IFERROR('Historical FS'!G33/'Historical FS'!G64,0)</f>
        <v>-3.459604317442181E-2</v>
      </c>
      <c r="H45" s="58">
        <f>IFERROR('Historical FS'!H33/'Historical FS'!H64,0)</f>
        <v>-5.5576031272778336E-3</v>
      </c>
      <c r="I45" s="58">
        <f>IFERROR('Historical FS'!I33/'Historical FS'!I64,0)</f>
        <v>-4.1508199576924025E-2</v>
      </c>
      <c r="J45" s="58">
        <f>IFERROR('Historical FS'!J33/'Historical FS'!J64,0)</f>
        <v>-1.1874525340941156E-2</v>
      </c>
      <c r="K45" s="58">
        <f>IFERROR('Historical FS'!K33/'Historical FS'!K64,0)</f>
        <v>7.3108158940899171E-2</v>
      </c>
      <c r="L45" s="58">
        <f>IFERROR('Historical FS'!L33/'Historical FS'!L64,0)</f>
        <v>4.3438124215792642E-2</v>
      </c>
      <c r="M45" s="6"/>
      <c r="N45" s="7">
        <f t="shared" si="2"/>
        <v>8.6058918723478754E-3</v>
      </c>
      <c r="O45" s="7">
        <f t="shared" si="1"/>
        <v>-1.4334592092566482E-3</v>
      </c>
    </row>
    <row r="46" spans="2:15" x14ac:dyDescent="0.3">
      <c r="B46" s="11" t="s">
        <v>192</v>
      </c>
      <c r="C46" s="58">
        <f>IFERROR(('Historical FS'!C18-'Historical FS'!C24)/'Historical FS'!C64,0)</f>
        <v>8.2392775065607951E-2</v>
      </c>
      <c r="D46" s="58">
        <f>IFERROR(('Historical FS'!D18-'Historical FS'!D24)/'Historical FS'!D64,0)</f>
        <v>4.2863322948139201E-2</v>
      </c>
      <c r="E46" s="58">
        <f>IFERROR(('Historical FS'!E18-'Historical FS'!E24)/'Historical FS'!E64,0)</f>
        <v>3.0269981391037853E-2</v>
      </c>
      <c r="F46" s="58">
        <f>IFERROR(('Historical FS'!F18-'Historical FS'!F24)/'Historical FS'!F64,0)</f>
        <v>3.5122268312999063E-3</v>
      </c>
      <c r="G46" s="58">
        <f>IFERROR(('Historical FS'!G18-'Historical FS'!G24)/'Historical FS'!G64,0)</f>
        <v>-1.0738854865080593E-2</v>
      </c>
      <c r="H46" s="58">
        <f>IFERROR(('Historical FS'!H18-'Historical FS'!H24)/'Historical FS'!H64,0)</f>
        <v>2.5589841915524675E-2</v>
      </c>
      <c r="I46" s="58">
        <f>IFERROR(('Historical FS'!I18-'Historical FS'!I24)/'Historical FS'!I64,0)</f>
        <v>-3.5130212289497626E-4</v>
      </c>
      <c r="J46" s="58">
        <f>IFERROR(('Historical FS'!J18-'Historical FS'!J24)/'Historical FS'!J64,0)</f>
        <v>2.0782705150196142E-2</v>
      </c>
      <c r="K46" s="58">
        <f>IFERROR(('Historical FS'!K18-'Historical FS'!K24)/'Historical FS'!K64,0)</f>
        <v>8.2769314869790889E-2</v>
      </c>
      <c r="L46" s="58">
        <f>IFERROR(('Historical FS'!L18-'Historical FS'!L24)/'Historical FS'!L64,0)</f>
        <v>8.4780607629724142E-2</v>
      </c>
      <c r="M46" s="6"/>
      <c r="N46" s="7">
        <f t="shared" si="2"/>
        <v>3.6187061881334526E-2</v>
      </c>
      <c r="O46" s="7">
        <f t="shared" si="1"/>
        <v>2.7929911653281264E-2</v>
      </c>
    </row>
    <row r="47" spans="2:15" x14ac:dyDescent="0.3">
      <c r="B47" s="65" t="s">
        <v>193</v>
      </c>
      <c r="C47" s="75">
        <f>(('Historical FS'!C18-'Historical FS'!C24)-('Historical FS'!C21-('Historical FS'!C21*'Historical FS'!C31)))/'Historical FS'!C64</f>
        <v>6.7161998996311631E-2</v>
      </c>
      <c r="D47" s="75">
        <f>(('Historical FS'!D18-'Historical FS'!D24)-('Historical FS'!D21-('Historical FS'!D21*'Historical FS'!D31)))/'Historical FS'!D64</f>
        <v>3.4104645702536476E-2</v>
      </c>
      <c r="E47" s="75">
        <f>(('Historical FS'!E18-'Historical FS'!E24)-('Historical FS'!E21-('Historical FS'!E21*'Historical FS'!E31)))/'Historical FS'!E64</f>
        <v>2.7857783554328597E-2</v>
      </c>
      <c r="F47" s="75">
        <f>(('Historical FS'!F18-'Historical FS'!F24)-('Historical FS'!F21-('Historical FS'!F21*'Historical FS'!F31)))/'Historical FS'!F64</f>
        <v>-5.524397525122844E-3</v>
      </c>
      <c r="G47" s="75">
        <f>(('Historical FS'!G18-'Historical FS'!G24)-('Historical FS'!G21-('Historical FS'!G21*'Historical FS'!G31)))/'Historical FS'!G64</f>
        <v>-3.4198677927403491E-2</v>
      </c>
      <c r="H47" s="75">
        <f>(('Historical FS'!H18-'Historical FS'!H24)-('Historical FS'!H21-('Historical FS'!H21*'Historical FS'!H31)))/'Historical FS'!H64</f>
        <v>9.551581085981932E-2</v>
      </c>
      <c r="I47" s="75">
        <f>(('Historical FS'!I18-'Historical FS'!I24)-('Historical FS'!I21-('Historical FS'!I21*'Historical FS'!I31)))/'Historical FS'!I64</f>
        <v>-4.1350526019085065E-2</v>
      </c>
      <c r="J47" s="75">
        <f>(('Historical FS'!J18-'Historical FS'!J24)-('Historical FS'!J21-('Historical FS'!J21*'Historical FS'!J31)))/'Historical FS'!J64</f>
        <v>-1.6349171335499933E-2</v>
      </c>
      <c r="K47" s="75">
        <f>(('Historical FS'!K18-'Historical FS'!K24)-('Historical FS'!K21-('Historical FS'!K21*'Historical FS'!K31)))/'Historical FS'!K64</f>
        <v>5.8621458795797235E-2</v>
      </c>
      <c r="L47" s="75">
        <f>(('Historical FS'!L18-'Historical FS'!L24)-('Historical FS'!L21-('Historical FS'!L21*'Historical FS'!L31)))/'Historical FS'!L64</f>
        <v>7.6565554409912626E-2</v>
      </c>
      <c r="M47" s="80"/>
      <c r="N47" s="81">
        <f t="shared" si="2"/>
        <v>2.6240447951159457E-2</v>
      </c>
      <c r="O47" s="81">
        <f t="shared" si="1"/>
        <v>3.0981214628432535E-2</v>
      </c>
    </row>
    <row r="48" spans="2:15" x14ac:dyDescent="0.3">
      <c r="N48" s="57"/>
      <c r="O48" s="57"/>
    </row>
    <row r="49" spans="2:15" x14ac:dyDescent="0.3">
      <c r="B49" s="77" t="s">
        <v>194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7"/>
      <c r="O49" s="67"/>
    </row>
    <row r="50" spans="2:15" x14ac:dyDescent="0.3">
      <c r="B50" s="11" t="s">
        <v>57</v>
      </c>
      <c r="C50" s="59">
        <f>IFERROR('Historical FS'!C38,0)</f>
        <v>47.694444444444336</v>
      </c>
      <c r="D50" s="59">
        <f>IFERROR('Historical FS'!D38,0)</f>
        <v>14.527274616423808</v>
      </c>
      <c r="E50" s="59">
        <f>IFERROR('Historical FS'!E38,0)</f>
        <v>3.049111626779315</v>
      </c>
      <c r="F50" s="59">
        <f>IFERROR('Historical FS'!F38,0)</f>
        <v>-7.7839157690575265</v>
      </c>
      <c r="G50" s="59">
        <f>IFERROR('Historical FS'!G38,0)</f>
        <v>-35.859307219164904</v>
      </c>
      <c r="H50" s="59">
        <f>IFERROR('Historical FS'!H38,0)</f>
        <v>-5.7172845827184542</v>
      </c>
      <c r="I50" s="59">
        <f>IFERROR('Historical FS'!I38,0)</f>
        <v>-41.132140813683833</v>
      </c>
      <c r="J50" s="59">
        <f>IFERROR('Historical FS'!J38,0)</f>
        <v>-11.965495438533218</v>
      </c>
      <c r="K50" s="59">
        <f>IFERROR('Historical FS'!K38,0)</f>
        <v>81.279898907843673</v>
      </c>
      <c r="L50" s="59">
        <f>IFERROR('Historical FS'!L38,0)</f>
        <v>44.481569010947219</v>
      </c>
      <c r="M50" s="11"/>
      <c r="N50" s="58">
        <f t="shared" si="2"/>
        <v>8.8574154783280417</v>
      </c>
      <c r="O50" s="58">
        <f t="shared" si="1"/>
        <v>-1.3340864779695698</v>
      </c>
    </row>
    <row r="51" spans="2:15" x14ac:dyDescent="0.3">
      <c r="B51" s="11" t="s">
        <v>195</v>
      </c>
      <c r="C51" s="59">
        <f>IFERROR(('Historical FS'!C33+'Historical FS'!C24)/'Historical FS'!C36,0)</f>
        <v>105.57328899972281</v>
      </c>
      <c r="D51" s="59">
        <f>IFERROR(('Historical FS'!D33+'Historical FS'!D24)/'Historical FS'!D36,0)</f>
        <v>76.54019326013939</v>
      </c>
      <c r="E51" s="59">
        <f>IFERROR(('Historical FS'!E33+'Historical FS'!E24)/'Historical FS'!E36,0)</f>
        <v>77.698749696948667</v>
      </c>
      <c r="F51" s="59">
        <f>IFERROR(('Historical FS'!F33+'Historical FS'!F24)/'Historical FS'!F36,0)</f>
        <v>73.92089495376311</v>
      </c>
      <c r="G51" s="59">
        <f>IFERROR(('Historical FS'!G33+'Historical FS'!G24)/'Historical FS'!G36,0)</f>
        <v>33.501100679831538</v>
      </c>
      <c r="H51" s="59">
        <f>IFERROR(('Historical FS'!H33+'Historical FS'!H24)/'Historical FS'!H36,0)</f>
        <v>65.200132518145921</v>
      </c>
      <c r="I51" s="59">
        <f>IFERROR(('Historical FS'!I33+'Historical FS'!I24)/'Historical FS'!I36,0)</f>
        <v>33.65838528021203</v>
      </c>
      <c r="J51" s="59">
        <f>IFERROR(('Historical FS'!J33+'Historical FS'!J24)/'Historical FS'!J36,0)</f>
        <v>62.88579772980448</v>
      </c>
      <c r="K51" s="59">
        <f>IFERROR(('Historical FS'!K33+'Historical FS'!K24)/'Historical FS'!K36,0)</f>
        <v>163.23374552456599</v>
      </c>
      <c r="L51" s="59">
        <f>IFERROR(('Historical FS'!L33+'Historical FS'!L24)/'Historical FS'!L36,0)</f>
        <v>107.6549045174259</v>
      </c>
      <c r="M51" s="11"/>
      <c r="N51" s="58">
        <f t="shared" si="2"/>
        <v>79.986719316055968</v>
      </c>
      <c r="O51" s="58">
        <f t="shared" si="1"/>
        <v>75.230544106951243</v>
      </c>
    </row>
    <row r="52" spans="2:15" x14ac:dyDescent="0.3">
      <c r="B52" s="11" t="s">
        <v>114</v>
      </c>
      <c r="C52" s="59">
        <f>IFERROR('Historical FS'!C41,0)</f>
        <v>67.92</v>
      </c>
      <c r="D52" s="59">
        <f>IFERROR('Historical FS'!D41,0)</f>
        <v>0</v>
      </c>
      <c r="E52" s="59">
        <f>IFERROR('Historical FS'!E41,0)</f>
        <v>0</v>
      </c>
      <c r="F52" s="59">
        <f>IFERROR('Historical FS'!F41,0)</f>
        <v>0</v>
      </c>
      <c r="G52" s="59">
        <f>IFERROR('Historical FS'!G41,0)</f>
        <v>0</v>
      </c>
      <c r="H52" s="59">
        <f>IFERROR('Historical FS'!H41,0)</f>
        <v>0</v>
      </c>
      <c r="I52" s="59">
        <f>IFERROR('Historical FS'!I41,0)</f>
        <v>0</v>
      </c>
      <c r="J52" s="59">
        <f>IFERROR('Historical FS'!J41,0)</f>
        <v>766.02</v>
      </c>
      <c r="K52" s="59">
        <f>IFERROR('Historical FS'!K41,0)</f>
        <v>2301</v>
      </c>
      <c r="L52" s="59">
        <f>IFERROR('Historical FS'!L41,0)</f>
        <v>2208</v>
      </c>
      <c r="M52" s="11"/>
      <c r="N52" s="58">
        <f t="shared" si="2"/>
        <v>534.2940000000001</v>
      </c>
      <c r="O52" s="58">
        <f t="shared" si="1"/>
        <v>0</v>
      </c>
    </row>
    <row r="53" spans="2:15" x14ac:dyDescent="0.3">
      <c r="B53" s="11" t="s">
        <v>115</v>
      </c>
      <c r="C53" s="58">
        <f>IFERROR('Historical FS'!C42,0)</f>
        <v>0.23524522028262676</v>
      </c>
      <c r="D53" s="58">
        <f>IFERROR('Historical FS'!D42,0)</f>
        <v>0</v>
      </c>
      <c r="E53" s="58">
        <f>IFERROR('Historical FS'!E42,0)</f>
        <v>0</v>
      </c>
      <c r="F53" s="58">
        <f>IFERROR('Historical FS'!F42,0)</f>
        <v>0</v>
      </c>
      <c r="G53" s="58">
        <f>IFERROR('Historical FS'!G42,0)</f>
        <v>0</v>
      </c>
      <c r="H53" s="58">
        <f>IFERROR('Historical FS'!H42,0)</f>
        <v>0</v>
      </c>
      <c r="I53" s="58">
        <f>IFERROR('Historical FS'!I42,0)</f>
        <v>0</v>
      </c>
      <c r="J53" s="58">
        <f>IFERROR('Historical FS'!J42,0)</f>
        <v>2.3063860536536898</v>
      </c>
      <c r="K53" s="58">
        <f>IFERROR('Historical FS'!K42,0)</f>
        <v>6.9230074916508713</v>
      </c>
      <c r="L53" s="58">
        <f>IFERROR('Historical FS'!L42,0)</f>
        <v>5.9978811832776469</v>
      </c>
      <c r="M53" s="11"/>
      <c r="N53" s="58">
        <f t="shared" si="2"/>
        <v>1.5462519948864835</v>
      </c>
      <c r="O53" s="58">
        <f t="shared" si="1"/>
        <v>0</v>
      </c>
    </row>
    <row r="54" spans="2:15" x14ac:dyDescent="0.3">
      <c r="B54" s="65" t="s">
        <v>196</v>
      </c>
      <c r="C54" s="75">
        <f>IFERROR(C53/'Data Sheet'!B8,0)</f>
        <v>3.4167787985857193E-4</v>
      </c>
      <c r="D54" s="75">
        <f>IFERROR(D53/'Data Sheet'!C8,0)</f>
        <v>0</v>
      </c>
      <c r="E54" s="75">
        <f>IFERROR(E53/'Data Sheet'!D8,0)</f>
        <v>0</v>
      </c>
      <c r="F54" s="75">
        <f>IFERROR(F53/'Data Sheet'!E8,0)</f>
        <v>0</v>
      </c>
      <c r="G54" s="75">
        <f>IFERROR(G53/'Data Sheet'!F8,0)</f>
        <v>0</v>
      </c>
      <c r="H54" s="75">
        <f>IFERROR(H53/'Data Sheet'!G8,0)</f>
        <v>0</v>
      </c>
      <c r="I54" s="75">
        <f>IFERROR(I53/'Data Sheet'!H8,0)</f>
        <v>0</v>
      </c>
      <c r="J54" s="75">
        <f>IFERROR(J53/'Data Sheet'!I8,0)</f>
        <v>0</v>
      </c>
      <c r="K54" s="75">
        <f>IFERROR(K53/'Data Sheet'!J8,0)</f>
        <v>0</v>
      </c>
      <c r="L54" s="75">
        <f>IFERROR(L53/'Data Sheet'!K8,0)</f>
        <v>0</v>
      </c>
      <c r="M54" s="75"/>
      <c r="N54" s="75"/>
      <c r="O54" s="65"/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theme="2" tint="-0.499984740745262"/>
          <x14:colorNegative theme="9"/>
          <x14:colorAxis rgb="FF000000"/>
          <x14:colorMarkers theme="1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Anaysis'!D5:L5</xm:f>
              <xm:sqref>M5</xm:sqref>
            </x14:sparkline>
            <x14:sparkline>
              <xm:f>'Ratio Anaysis'!D6:L6</xm:f>
              <xm:sqref>M6</xm:sqref>
            </x14:sparkline>
            <x14:sparkline>
              <xm:f>'Ratio Anaysis'!D7:L7</xm:f>
              <xm:sqref>M7</xm:sqref>
            </x14:sparkline>
            <x14:sparkline>
              <xm:f>'Ratio Anaysis'!D8:L8</xm:f>
              <xm:sqref>M8</xm:sqref>
            </x14:sparkline>
            <x14:sparkline>
              <xm:f>'Ratio Anaysis'!D9:L9</xm:f>
              <xm:sqref>M9</xm:sqref>
            </x14:sparkline>
          </x14:sparklines>
        </x14:sparklineGroup>
        <x14:sparklineGroup displayEmptyCellsAs="gap" markers="1">
          <x14:colorSeries theme="2" tint="-0.499984740745262"/>
          <x14:colorNegative theme="9"/>
          <x14:colorAxis rgb="FF000000"/>
          <x14:colorMarkers theme="1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'Ratio Anaysis'!C12:L12</xm:f>
              <xm:sqref>M12</xm:sqref>
            </x14:sparkline>
            <x14:sparkline>
              <xm:f>'Ratio Anaysis'!C13:L13</xm:f>
              <xm:sqref>M13</xm:sqref>
            </x14:sparkline>
            <x14:sparkline>
              <xm:f>'Ratio Anaysis'!C14:L14</xm:f>
              <xm:sqref>M14</xm:sqref>
            </x14:sparkline>
            <x14:sparkline>
              <xm:f>'Ratio Anaysis'!C15:L15</xm:f>
              <xm:sqref>M15</xm:sqref>
            </x14:sparkline>
            <x14:sparkline>
              <xm:f>'Ratio Anaysis'!C16:L16</xm:f>
              <xm:sqref>M16</xm:sqref>
            </x14:sparkline>
            <x14:sparkline>
              <xm:f>'Ratio Anaysis'!C17:L17</xm:f>
              <xm:sqref>M17</xm:sqref>
            </x14:sparkline>
            <x14:sparkline>
              <xm:f>'Ratio Anaysis'!C18:L18</xm:f>
              <xm:sqref>M18</xm:sqref>
            </x14:sparkline>
            <x14:sparkline>
              <xm:f>'Ratio Anaysis'!C19:L19</xm:f>
              <xm:sqref>M19</xm:sqref>
            </x14:sparkline>
            <x14:sparkline>
              <xm:f>'Ratio Anaysis'!C20:L20</xm:f>
              <xm:sqref>M20</xm:sqref>
            </x14:sparkline>
            <x14:sparkline>
              <xm:f>'Ratio Anaysis'!C21:L21</xm:f>
              <xm:sqref>M21</xm:sqref>
            </x14:sparkline>
            <x14:sparkline>
              <xm:f>'Ratio Anaysis'!C22:L22</xm:f>
              <xm:sqref>M22</xm:sqref>
            </x14:sparkline>
            <x14:sparkline>
              <xm:f>'Ratio Anaysis'!C23:L23</xm:f>
              <xm:sqref>M23</xm:sqref>
            </x14:sparkline>
            <x14:sparkline>
              <xm:f>'Ratio Anaysis'!C24:L24</xm:f>
              <xm:sqref>M24</xm:sqref>
            </x14:sparkline>
            <x14:sparkline>
              <xm:f>'Ratio Anaysis'!C25:L25</xm:f>
              <xm:sqref>M25</xm:sqref>
            </x14:sparkline>
            <x14:sparkline>
              <xm:f>'Ratio Anaysis'!C26:L26</xm:f>
              <xm:sqref>M26</xm:sqref>
            </x14:sparkline>
            <x14:sparkline>
              <xm:f>'Ratio Anaysis'!C27:L27</xm:f>
              <xm:sqref>M27</xm:sqref>
            </x14:sparkline>
            <x14:sparkline>
              <xm:f>'Ratio Anaysis'!C28:L28</xm:f>
              <xm:sqref>M28</xm:sqref>
            </x14:sparkline>
            <x14:sparkline>
              <xm:f>'Ratio Anaysis'!C29:L29</xm:f>
              <xm:sqref>M29</xm:sqref>
            </x14:sparkline>
            <x14:sparkline>
              <xm:f>'Ratio Anaysis'!C30:L30</xm:f>
              <xm:sqref>M30</xm:sqref>
            </x14:sparkline>
            <x14:sparkline>
              <xm:f>'Ratio Anaysis'!C31:L31</xm:f>
              <xm:sqref>M31</xm:sqref>
            </x14:sparkline>
            <x14:sparkline>
              <xm:f>'Ratio Anaysis'!C32:L32</xm:f>
              <xm:sqref>M32</xm:sqref>
            </x14:sparkline>
            <x14:sparkline>
              <xm:f>'Ratio Anaysis'!C33:L33</xm:f>
              <xm:sqref>M33</xm:sqref>
            </x14:sparkline>
            <x14:sparkline>
              <xm:f>'Ratio Anaysis'!C34:L34</xm:f>
              <xm:sqref>M34</xm:sqref>
            </x14:sparkline>
            <x14:sparkline>
              <xm:f>'Ratio Anaysis'!C35:L35</xm:f>
              <xm:sqref>M35</xm:sqref>
            </x14:sparkline>
            <x14:sparkline>
              <xm:f>'Ratio Anaysis'!C36:L36</xm:f>
              <xm:sqref>M36</xm:sqref>
            </x14:sparkline>
            <x14:sparkline>
              <xm:f>'Ratio Anaysis'!C37:L37</xm:f>
              <xm:sqref>M37</xm:sqref>
            </x14:sparkline>
            <x14:sparkline>
              <xm:f>'Ratio Anaysis'!C38:L38</xm:f>
              <xm:sqref>M38</xm:sqref>
            </x14:sparkline>
            <x14:sparkline>
              <xm:f>'Ratio Anaysis'!C39:L39</xm:f>
              <xm:sqref>M39</xm:sqref>
            </x14:sparkline>
            <x14:sparkline>
              <xm:f>'Ratio Anaysis'!C40:L40</xm:f>
              <xm:sqref>M40</xm:sqref>
            </x14:sparkline>
            <x14:sparkline>
              <xm:f>'Ratio Anaysis'!C41:L41</xm:f>
              <xm:sqref>M41</xm:sqref>
            </x14:sparkline>
            <x14:sparkline>
              <xm:f>'Ratio Anaysis'!C42:L42</xm:f>
              <xm:sqref>M42</xm:sqref>
            </x14:sparkline>
            <x14:sparkline>
              <xm:f>'Ratio Anaysis'!C43:L43</xm:f>
              <xm:sqref>M43</xm:sqref>
            </x14:sparkline>
            <x14:sparkline>
              <xm:f>'Ratio Anaysis'!C44:L44</xm:f>
              <xm:sqref>M44</xm:sqref>
            </x14:sparkline>
            <x14:sparkline>
              <xm:f>'Ratio Anaysis'!C45:L45</xm:f>
              <xm:sqref>M45</xm:sqref>
            </x14:sparkline>
            <x14:sparkline>
              <xm:f>'Ratio Anaysis'!C46:L46</xm:f>
              <xm:sqref>M46</xm:sqref>
            </x14:sparkline>
            <x14:sparkline>
              <xm:f>'Ratio Anaysis'!C47:L47</xm:f>
              <xm:sqref>M47</xm:sqref>
            </x14:sparkline>
            <x14:sparkline>
              <xm:f>'Ratio Anaysis'!C48:L48</xm:f>
              <xm:sqref>M48</xm:sqref>
            </x14:sparkline>
            <x14:sparkline>
              <xm:f>'Ratio Anaysis'!C49:L49</xm:f>
              <xm:sqref>M49</xm:sqref>
            </x14:sparkline>
            <x14:sparkline>
              <xm:f>'Ratio Anaysis'!C50:L50</xm:f>
              <xm:sqref>M50</xm:sqref>
            </x14:sparkline>
            <x14:sparkline>
              <xm:f>'Ratio Anaysis'!C51:L51</xm:f>
              <xm:sqref>M51</xm:sqref>
            </x14:sparkline>
            <x14:sparkline>
              <xm:f>'Ratio Anaysis'!C52:L52</xm:f>
              <xm:sqref>M52</xm:sqref>
            </x14:sparkline>
            <x14:sparkline>
              <xm:f>'Ratio Anaysis'!C53:L53</xm:f>
              <xm:sqref>M53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3:J19"/>
  <sheetViews>
    <sheetView showGridLines="0" tabSelected="1" workbookViewId="0">
      <selection activeCell="K28" sqref="K28"/>
    </sheetView>
  </sheetViews>
  <sheetFormatPr defaultRowHeight="14.4" x14ac:dyDescent="0.3"/>
  <cols>
    <col min="1" max="1" width="1.88671875" customWidth="1"/>
    <col min="2" max="2" width="10.88671875" bestFit="1" customWidth="1"/>
    <col min="4" max="4" width="10.44140625" bestFit="1" customWidth="1"/>
    <col min="5" max="5" width="11.6640625" bestFit="1" customWidth="1"/>
    <col min="6" max="6" width="2.33203125" customWidth="1"/>
    <col min="7" max="7" width="10.88671875" bestFit="1" customWidth="1"/>
    <col min="8" max="8" width="6.109375" bestFit="1" customWidth="1"/>
    <col min="9" max="9" width="9.44140625" bestFit="1" customWidth="1"/>
    <col min="10" max="10" width="11.6640625" bestFit="1" customWidth="1"/>
  </cols>
  <sheetData>
    <row r="3" spans="2:10" x14ac:dyDescent="0.3">
      <c r="B3" s="89" t="str">
        <f>'Data Sheet'!$B$1&amp;" - "&amp;'Data Sheet'!$A$17&amp; " Forecasting"</f>
        <v>TATA MOTORS LTD - Sales Forecasting</v>
      </c>
      <c r="C3" s="89"/>
      <c r="D3" s="89"/>
      <c r="E3" s="89"/>
      <c r="G3" s="89" t="str">
        <f>'Data Sheet'!$B$1&amp;" - "&amp;'Historical FS'!B18 &amp; " Forecasting"</f>
        <v>TATA MOTORS LTD - EBITDA Forecasting</v>
      </c>
      <c r="H3" s="89"/>
      <c r="I3" s="89"/>
      <c r="J3" s="89"/>
    </row>
    <row r="4" spans="2:10" x14ac:dyDescent="0.3">
      <c r="B4" s="85" t="s">
        <v>201</v>
      </c>
      <c r="C4" s="85" t="s">
        <v>200</v>
      </c>
      <c r="D4" s="85" t="s">
        <v>6</v>
      </c>
      <c r="E4" s="85" t="s">
        <v>22</v>
      </c>
      <c r="G4" s="85" t="s">
        <v>201</v>
      </c>
      <c r="H4" s="85" t="s">
        <v>200</v>
      </c>
      <c r="I4" s="85" t="s">
        <v>6</v>
      </c>
      <c r="J4" s="85" t="s">
        <v>22</v>
      </c>
    </row>
    <row r="5" spans="2:10" x14ac:dyDescent="0.3">
      <c r="B5" s="87">
        <v>1</v>
      </c>
      <c r="C5" s="88">
        <v>2014</v>
      </c>
      <c r="D5" s="90">
        <v>232834</v>
      </c>
      <c r="E5" s="86" t="s">
        <v>97</v>
      </c>
      <c r="G5" s="87">
        <v>1</v>
      </c>
      <c r="H5" s="88">
        <v>2014</v>
      </c>
      <c r="I5" s="86" t="s">
        <v>97</v>
      </c>
      <c r="J5" s="86" t="s">
        <v>97</v>
      </c>
    </row>
    <row r="6" spans="2:10" x14ac:dyDescent="0.3">
      <c r="B6" s="87">
        <v>2</v>
      </c>
      <c r="C6" s="88">
        <v>2015</v>
      </c>
      <c r="D6" s="90">
        <v>263159</v>
      </c>
      <c r="E6" s="57">
        <f>D6/D5-1</f>
        <v>0.13024300574658332</v>
      </c>
      <c r="G6" s="87">
        <v>2</v>
      </c>
      <c r="H6" s="88">
        <v>2015</v>
      </c>
      <c r="I6" s="86" t="s">
        <v>97</v>
      </c>
      <c r="J6" s="86" t="s">
        <v>97</v>
      </c>
    </row>
    <row r="7" spans="2:10" x14ac:dyDescent="0.3">
      <c r="B7" s="87">
        <v>3</v>
      </c>
      <c r="C7" s="88">
        <v>2016</v>
      </c>
      <c r="D7" s="90">
        <v>273046</v>
      </c>
      <c r="E7" s="57">
        <f t="shared" ref="E7:E19" si="0">D7/D6-1</f>
        <v>3.757044220414274E-2</v>
      </c>
      <c r="G7" s="87">
        <v>3</v>
      </c>
      <c r="H7" s="88">
        <v>2016</v>
      </c>
      <c r="I7" s="90">
        <f t="array" ref="I7:I16">TRANSPOSE('Historical FS'!C18:M18)</f>
        <v>38395.249999999971</v>
      </c>
      <c r="J7" s="86" t="s">
        <v>97</v>
      </c>
    </row>
    <row r="8" spans="2:10" x14ac:dyDescent="0.3">
      <c r="B8" s="87">
        <v>4</v>
      </c>
      <c r="C8" s="88">
        <v>2017</v>
      </c>
      <c r="D8" s="90">
        <v>269693</v>
      </c>
      <c r="E8" s="57">
        <f t="shared" si="0"/>
        <v>-1.2279982127553546E-2</v>
      </c>
      <c r="G8" s="87">
        <v>4</v>
      </c>
      <c r="H8" s="88">
        <v>2017</v>
      </c>
      <c r="I8" s="90">
        <v>29588.690000000046</v>
      </c>
      <c r="J8" s="57">
        <f>I8/I7-1</f>
        <v>-0.22936587208052905</v>
      </c>
    </row>
    <row r="9" spans="2:10" x14ac:dyDescent="0.3">
      <c r="B9" s="87">
        <v>5</v>
      </c>
      <c r="C9" s="88">
        <v>2018</v>
      </c>
      <c r="D9" s="90">
        <v>291550</v>
      </c>
      <c r="E9" s="57">
        <f t="shared" si="0"/>
        <v>8.1044001883623151E-2</v>
      </c>
      <c r="G9" s="87">
        <v>5</v>
      </c>
      <c r="H9" s="88">
        <v>2018</v>
      </c>
      <c r="I9" s="90">
        <v>31457.679999999993</v>
      </c>
      <c r="J9" s="57">
        <f t="shared" ref="J9:J19" si="1">I9/I8-1</f>
        <v>6.3165689322506102E-2</v>
      </c>
    </row>
    <row r="10" spans="2:10" x14ac:dyDescent="0.3">
      <c r="B10" s="87">
        <v>6</v>
      </c>
      <c r="C10" s="88">
        <v>2019</v>
      </c>
      <c r="D10" s="90">
        <v>301938</v>
      </c>
      <c r="E10" s="57">
        <f t="shared" si="0"/>
        <v>3.5630252100840254E-2</v>
      </c>
      <c r="G10" s="87">
        <v>6</v>
      </c>
      <c r="H10" s="88">
        <v>2019</v>
      </c>
      <c r="I10" s="90">
        <v>24664.330000000024</v>
      </c>
      <c r="J10" s="57">
        <f t="shared" si="1"/>
        <v>-0.21595203460649259</v>
      </c>
    </row>
    <row r="11" spans="2:10" x14ac:dyDescent="0.3">
      <c r="B11" s="87">
        <v>7</v>
      </c>
      <c r="C11" s="88">
        <v>2020</v>
      </c>
      <c r="D11" s="90">
        <v>261068</v>
      </c>
      <c r="E11" s="57">
        <f t="shared" si="0"/>
        <v>-0.13535891474408657</v>
      </c>
      <c r="G11" s="87">
        <v>7</v>
      </c>
      <c r="H11" s="88">
        <v>2020</v>
      </c>
      <c r="I11" s="90">
        <v>17987.069999999963</v>
      </c>
      <c r="J11" s="57">
        <f t="shared" si="1"/>
        <v>-0.27072537547138131</v>
      </c>
    </row>
    <row r="12" spans="2:10" x14ac:dyDescent="0.3">
      <c r="B12" s="87">
        <v>8</v>
      </c>
      <c r="C12" s="88">
        <v>2021</v>
      </c>
      <c r="D12" s="90">
        <v>249795</v>
      </c>
      <c r="E12" s="57">
        <f t="shared" si="0"/>
        <v>-4.3180320835950803E-2</v>
      </c>
      <c r="G12" s="87">
        <v>8</v>
      </c>
      <c r="H12" s="88">
        <v>2021</v>
      </c>
      <c r="I12" s="90">
        <v>32287.429999999989</v>
      </c>
      <c r="J12" s="57">
        <f t="shared" si="1"/>
        <v>0.79503554497758966</v>
      </c>
    </row>
    <row r="13" spans="2:10" x14ac:dyDescent="0.3">
      <c r="B13" s="87">
        <v>9</v>
      </c>
      <c r="C13" s="88">
        <v>2022</v>
      </c>
      <c r="D13" s="90">
        <v>278454</v>
      </c>
      <c r="E13" s="57">
        <f t="shared" si="0"/>
        <v>0.11473007866450491</v>
      </c>
      <c r="G13" s="87">
        <v>9</v>
      </c>
      <c r="H13" s="88">
        <v>2022</v>
      </c>
      <c r="I13" s="90">
        <v>24720.090000000015</v>
      </c>
      <c r="J13" s="57">
        <f t="shared" si="1"/>
        <v>-0.234374182150762</v>
      </c>
    </row>
    <row r="14" spans="2:10" x14ac:dyDescent="0.3">
      <c r="B14" s="87">
        <v>10</v>
      </c>
      <c r="C14" s="88">
        <v>2023</v>
      </c>
      <c r="D14" s="90">
        <v>345967</v>
      </c>
      <c r="E14" s="57">
        <f t="shared" si="0"/>
        <v>0.24245656374122837</v>
      </c>
      <c r="G14" s="87">
        <v>10</v>
      </c>
      <c r="H14" s="88">
        <v>2023</v>
      </c>
      <c r="I14" s="90">
        <v>31815.799999999959</v>
      </c>
      <c r="J14" s="57">
        <f t="shared" si="1"/>
        <v>0.28704223973294352</v>
      </c>
    </row>
    <row r="15" spans="2:10" x14ac:dyDescent="0.3">
      <c r="B15" s="87">
        <v>11</v>
      </c>
      <c r="C15" s="88">
        <v>2024</v>
      </c>
      <c r="D15" s="90">
        <v>434016</v>
      </c>
      <c r="E15" s="57">
        <f t="shared" si="0"/>
        <v>0.25450115184396194</v>
      </c>
      <c r="G15" s="87">
        <v>11</v>
      </c>
      <c r="H15" s="88">
        <v>2024</v>
      </c>
      <c r="I15" s="90">
        <v>57824</v>
      </c>
      <c r="J15" s="57">
        <f t="shared" si="1"/>
        <v>0.81746176428064277</v>
      </c>
    </row>
    <row r="16" spans="2:10" x14ac:dyDescent="0.3">
      <c r="B16" s="87">
        <v>12</v>
      </c>
      <c r="C16" s="88">
        <v>2025</v>
      </c>
      <c r="D16" s="90">
        <v>439695</v>
      </c>
      <c r="E16" s="57">
        <f t="shared" si="0"/>
        <v>1.3084771068347711E-2</v>
      </c>
      <c r="G16" s="87">
        <v>12</v>
      </c>
      <c r="H16" s="88">
        <v>2025</v>
      </c>
      <c r="I16" s="90">
        <v>55216</v>
      </c>
      <c r="J16" s="57">
        <f t="shared" si="1"/>
        <v>-4.510237963475372E-2</v>
      </c>
    </row>
    <row r="17" spans="2:10" x14ac:dyDescent="0.3">
      <c r="B17" s="91">
        <v>13</v>
      </c>
      <c r="C17" s="92">
        <v>2026</v>
      </c>
      <c r="D17" s="93">
        <f>FORECAST(B17,$D$5:$D$16,$B$5:$B$16)</f>
        <v>398918.6969696969</v>
      </c>
      <c r="E17" s="94">
        <f t="shared" si="0"/>
        <v>-9.2737700065506967E-2</v>
      </c>
      <c r="G17" s="91">
        <v>13</v>
      </c>
      <c r="H17" s="92">
        <v>2026</v>
      </c>
      <c r="I17" s="93">
        <f>FORECAST(G17,I7:I16,G7:G16)</f>
        <v>46572.039333333327</v>
      </c>
      <c r="J17" s="94">
        <f t="shared" si="1"/>
        <v>-0.15654811407321556</v>
      </c>
    </row>
    <row r="18" spans="2:10" x14ac:dyDescent="0.3">
      <c r="B18" s="91">
        <v>14</v>
      </c>
      <c r="C18" s="92">
        <v>2027</v>
      </c>
      <c r="D18" s="93">
        <f>FORECAST(B18,$D$5:$D$16,$B$5:$B$16)</f>
        <v>413608.56060606055</v>
      </c>
      <c r="E18" s="94">
        <f t="shared" si="0"/>
        <v>3.6824204400425886E-2</v>
      </c>
      <c r="G18" s="91">
        <v>14</v>
      </c>
      <c r="H18" s="92">
        <v>2027</v>
      </c>
      <c r="I18" s="93">
        <f t="shared" ref="I18:I19" si="2">FORECAST(G18,I8:I17,G8:G17)</f>
        <v>52509.165733333313</v>
      </c>
      <c r="J18" s="94">
        <f t="shared" si="1"/>
        <v>0.12748263732892973</v>
      </c>
    </row>
    <row r="19" spans="2:10" x14ac:dyDescent="0.3">
      <c r="B19" s="91">
        <v>15</v>
      </c>
      <c r="C19" s="92">
        <v>2028</v>
      </c>
      <c r="D19" s="93">
        <f>FORECAST(B19,$D$5:$D$16,$B$5:$B$16)</f>
        <v>428298.4242424242</v>
      </c>
      <c r="E19" s="94">
        <f t="shared" si="0"/>
        <v>3.5516343314651477E-2</v>
      </c>
      <c r="G19" s="91">
        <v>15</v>
      </c>
      <c r="H19" s="92">
        <v>2028</v>
      </c>
      <c r="I19" s="93">
        <f t="shared" si="2"/>
        <v>57927.607404444439</v>
      </c>
      <c r="J19" s="94">
        <f t="shared" si="1"/>
        <v>0.10319039724661727</v>
      </c>
    </row>
  </sheetData>
  <mergeCells count="2">
    <mergeCell ref="B3:E3"/>
    <mergeCell ref="G3:J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3"/>
  <sheetViews>
    <sheetView workbookViewId="0">
      <selection activeCell="B25" sqref="B25:B32"/>
    </sheetView>
  </sheetViews>
  <sheetFormatPr defaultRowHeight="14.4" x14ac:dyDescent="0.3"/>
  <cols>
    <col min="2" max="2" width="25.77734375" bestFit="1" customWidth="1"/>
  </cols>
  <sheetData>
    <row r="2" spans="2:14" x14ac:dyDescent="0.3">
      <c r="C2" s="51">
        <v>41699</v>
      </c>
      <c r="D2" s="51">
        <v>42064</v>
      </c>
      <c r="E2" s="51">
        <v>42430</v>
      </c>
      <c r="F2" s="51">
        <v>42795</v>
      </c>
      <c r="G2" s="51">
        <v>43160</v>
      </c>
      <c r="H2" s="51">
        <v>43525</v>
      </c>
      <c r="I2" s="51">
        <v>43891</v>
      </c>
      <c r="J2" s="51">
        <v>44256</v>
      </c>
      <c r="K2" s="51">
        <v>44621</v>
      </c>
      <c r="L2" s="51">
        <v>44986</v>
      </c>
      <c r="M2" s="51">
        <v>45352</v>
      </c>
      <c r="N2" s="51">
        <v>45717</v>
      </c>
    </row>
    <row r="3" spans="2:14" x14ac:dyDescent="0.3">
      <c r="B3" t="s">
        <v>127</v>
      </c>
      <c r="C3" s="52">
        <v>36151</v>
      </c>
      <c r="D3" s="52">
        <v>35531</v>
      </c>
      <c r="E3" s="52">
        <v>37900</v>
      </c>
      <c r="F3" s="52">
        <v>30199</v>
      </c>
      <c r="G3" s="52">
        <v>23857</v>
      </c>
      <c r="H3" s="52">
        <v>18891</v>
      </c>
      <c r="I3" s="52">
        <v>26633</v>
      </c>
      <c r="J3" s="52">
        <v>29001</v>
      </c>
      <c r="K3" s="52">
        <v>14283</v>
      </c>
      <c r="L3" s="52">
        <v>35388</v>
      </c>
      <c r="M3" s="52">
        <v>67915</v>
      </c>
      <c r="N3" s="52">
        <v>63102</v>
      </c>
    </row>
    <row r="4" spans="2:14" x14ac:dyDescent="0.3">
      <c r="B4" t="s">
        <v>128</v>
      </c>
      <c r="C4" s="52">
        <v>36303</v>
      </c>
      <c r="D4" s="52">
        <v>43397</v>
      </c>
      <c r="E4" s="52">
        <v>38626</v>
      </c>
      <c r="F4" s="52">
        <v>28840</v>
      </c>
      <c r="G4" s="52">
        <v>33312</v>
      </c>
      <c r="H4" s="52">
        <v>28771</v>
      </c>
      <c r="I4" s="52">
        <v>23352</v>
      </c>
      <c r="J4" s="52">
        <v>31198</v>
      </c>
      <c r="K4" s="52">
        <v>26943</v>
      </c>
      <c r="L4" s="52">
        <v>41694</v>
      </c>
      <c r="M4" s="52">
        <v>65106</v>
      </c>
      <c r="N4" s="52">
        <v>58937</v>
      </c>
    </row>
    <row r="5" spans="2:14" x14ac:dyDescent="0.3">
      <c r="B5" t="s">
        <v>78</v>
      </c>
      <c r="C5">
        <v>445</v>
      </c>
      <c r="D5" s="52">
        <v>-3179</v>
      </c>
      <c r="E5" s="52">
        <v>-2223</v>
      </c>
      <c r="F5" s="52">
        <v>-4152</v>
      </c>
      <c r="G5" s="52">
        <v>-10688</v>
      </c>
      <c r="H5" s="52">
        <v>-9109</v>
      </c>
      <c r="I5" s="52">
        <v>9950</v>
      </c>
      <c r="J5" s="52">
        <v>-5505</v>
      </c>
      <c r="K5">
        <v>185</v>
      </c>
      <c r="L5" s="52">
        <v>-2213</v>
      </c>
      <c r="M5" s="52">
        <v>-1876</v>
      </c>
      <c r="N5" s="52">
        <v>3573</v>
      </c>
    </row>
    <row r="6" spans="2:14" x14ac:dyDescent="0.3">
      <c r="B6" t="s">
        <v>45</v>
      </c>
      <c r="C6" s="52">
        <v>-2853</v>
      </c>
      <c r="D6" s="52">
        <v>-3692</v>
      </c>
      <c r="E6" s="52">
        <v>-5743</v>
      </c>
      <c r="F6" s="52">
        <v>-6621</v>
      </c>
      <c r="G6" s="52">
        <v>-3560</v>
      </c>
      <c r="H6" s="52">
        <v>2069</v>
      </c>
      <c r="I6" s="52">
        <v>2326</v>
      </c>
      <c r="J6" s="52">
        <v>3814</v>
      </c>
      <c r="K6">
        <v>472</v>
      </c>
      <c r="L6" s="52">
        <v>-5665</v>
      </c>
      <c r="M6" s="52">
        <v>-7265</v>
      </c>
      <c r="N6" s="52">
        <v>2127</v>
      </c>
    </row>
    <row r="7" spans="2:14" x14ac:dyDescent="0.3">
      <c r="B7" t="s">
        <v>129</v>
      </c>
      <c r="C7" s="52">
        <v>4694</v>
      </c>
      <c r="D7" s="52">
        <v>3598</v>
      </c>
      <c r="E7" s="52">
        <v>3947</v>
      </c>
      <c r="F7" s="52">
        <v>9301</v>
      </c>
      <c r="G7" s="52">
        <v>7320</v>
      </c>
      <c r="H7" s="52">
        <v>-4692</v>
      </c>
      <c r="I7" s="52">
        <v>-8085</v>
      </c>
      <c r="J7" s="52">
        <v>5748</v>
      </c>
      <c r="K7" s="52">
        <v>-7012</v>
      </c>
      <c r="L7" s="52">
        <v>6945</v>
      </c>
      <c r="M7" s="52">
        <v>13706</v>
      </c>
      <c r="N7" s="52">
        <v>1303</v>
      </c>
    </row>
    <row r="8" spans="2:14" x14ac:dyDescent="0.3">
      <c r="B8" t="s">
        <v>130</v>
      </c>
      <c r="C8">
        <v>0</v>
      </c>
      <c r="D8">
        <v>0</v>
      </c>
      <c r="E8">
        <v>-520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131</v>
      </c>
      <c r="C9" s="52">
        <v>1870</v>
      </c>
      <c r="D9">
        <v>-398</v>
      </c>
      <c r="E9" s="52">
        <v>5852</v>
      </c>
      <c r="F9" s="52">
        <v>4727</v>
      </c>
      <c r="G9">
        <v>494</v>
      </c>
      <c r="H9" s="52">
        <v>4512</v>
      </c>
      <c r="I9">
        <v>875</v>
      </c>
      <c r="J9" s="52">
        <v>-4150</v>
      </c>
      <c r="K9" s="52">
        <v>-4396</v>
      </c>
      <c r="L9" s="52">
        <v>-2194</v>
      </c>
      <c r="M9" s="52">
        <v>2760</v>
      </c>
      <c r="N9" s="52">
        <v>1153</v>
      </c>
    </row>
    <row r="10" spans="2:14" x14ac:dyDescent="0.3">
      <c r="B10" t="s">
        <v>132</v>
      </c>
      <c r="C10" s="52">
        <v>4157</v>
      </c>
      <c r="D10" s="52">
        <v>-3672</v>
      </c>
      <c r="E10" s="52">
        <v>1313</v>
      </c>
      <c r="F10" s="52">
        <v>3254</v>
      </c>
      <c r="G10" s="52">
        <v>-6434</v>
      </c>
      <c r="H10" s="52">
        <v>-7221</v>
      </c>
      <c r="I10" s="52">
        <v>5065</v>
      </c>
      <c r="J10">
        <v>-93</v>
      </c>
      <c r="K10" s="52">
        <v>-10750</v>
      </c>
      <c r="L10" s="52">
        <v>-3127</v>
      </c>
      <c r="M10" s="52">
        <v>7325</v>
      </c>
      <c r="N10" s="52">
        <v>8156</v>
      </c>
    </row>
    <row r="11" spans="2:14" x14ac:dyDescent="0.3">
      <c r="B11" t="s">
        <v>133</v>
      </c>
      <c r="C11" s="52">
        <v>-4308</v>
      </c>
      <c r="D11" s="52">
        <v>-4194</v>
      </c>
      <c r="E11" s="52">
        <v>-2040</v>
      </c>
      <c r="F11" s="52">
        <v>-1895</v>
      </c>
      <c r="G11" s="52">
        <v>-3021</v>
      </c>
      <c r="H11" s="52">
        <v>-2659</v>
      </c>
      <c r="I11" s="52">
        <v>-1785</v>
      </c>
      <c r="J11" s="52">
        <v>-2105</v>
      </c>
      <c r="K11" s="52">
        <v>-1910</v>
      </c>
      <c r="L11" s="52">
        <v>-3179</v>
      </c>
      <c r="M11" s="52">
        <v>-4516</v>
      </c>
      <c r="N11" s="52">
        <v>-3991</v>
      </c>
    </row>
    <row r="12" spans="2:14" x14ac:dyDescent="0.3">
      <c r="B12" t="s">
        <v>134</v>
      </c>
      <c r="C12" s="52">
        <v>-27991</v>
      </c>
      <c r="D12" s="52">
        <v>-36232</v>
      </c>
      <c r="E12" s="52">
        <v>-36694</v>
      </c>
      <c r="F12" s="52">
        <v>-39571</v>
      </c>
      <c r="G12" s="52">
        <v>-25139</v>
      </c>
      <c r="H12" s="52">
        <v>-20878</v>
      </c>
      <c r="I12" s="52">
        <v>-33115</v>
      </c>
      <c r="J12" s="52">
        <v>-25672</v>
      </c>
      <c r="K12" s="52">
        <v>-4444</v>
      </c>
      <c r="L12" s="52">
        <v>-15417</v>
      </c>
      <c r="M12" s="52">
        <v>-22781</v>
      </c>
      <c r="N12" s="52">
        <v>-49982</v>
      </c>
    </row>
    <row r="13" spans="2:14" x14ac:dyDescent="0.3">
      <c r="B13" t="s">
        <v>135</v>
      </c>
      <c r="C13" s="52">
        <v>-26975</v>
      </c>
      <c r="D13" s="52">
        <v>-31962</v>
      </c>
      <c r="E13" s="52">
        <v>-31503</v>
      </c>
      <c r="F13" s="52">
        <v>-16072</v>
      </c>
      <c r="G13" s="52">
        <v>-35079</v>
      </c>
      <c r="H13" s="52">
        <v>-35304</v>
      </c>
      <c r="I13" s="52">
        <v>-29702</v>
      </c>
      <c r="J13" s="52">
        <v>-20205</v>
      </c>
      <c r="K13" s="52">
        <v>-15168</v>
      </c>
      <c r="L13" s="52">
        <v>-19230</v>
      </c>
      <c r="M13" s="52">
        <v>-31414</v>
      </c>
      <c r="N13" s="52">
        <v>-38042</v>
      </c>
    </row>
    <row r="14" spans="2:14" x14ac:dyDescent="0.3">
      <c r="B14" t="s">
        <v>136</v>
      </c>
      <c r="C14">
        <v>50</v>
      </c>
      <c r="D14">
        <v>74</v>
      </c>
      <c r="E14">
        <v>59</v>
      </c>
      <c r="F14">
        <v>53</v>
      </c>
      <c r="G14">
        <v>30</v>
      </c>
      <c r="H14">
        <v>67</v>
      </c>
      <c r="I14">
        <v>171</v>
      </c>
      <c r="J14">
        <v>351</v>
      </c>
      <c r="K14">
        <v>230</v>
      </c>
      <c r="L14">
        <v>285</v>
      </c>
      <c r="M14">
        <v>231</v>
      </c>
      <c r="N14">
        <v>974</v>
      </c>
    </row>
    <row r="15" spans="2:14" x14ac:dyDescent="0.3">
      <c r="B15" t="s">
        <v>137</v>
      </c>
      <c r="C15">
        <v>-429</v>
      </c>
      <c r="D15" s="52">
        <v>-5461</v>
      </c>
      <c r="E15" s="52">
        <v>-4728</v>
      </c>
      <c r="F15">
        <v>-6</v>
      </c>
      <c r="G15">
        <v>-329</v>
      </c>
      <c r="H15">
        <v>-130</v>
      </c>
      <c r="I15" s="52">
        <v>-1439</v>
      </c>
      <c r="J15" s="52">
        <v>-7530</v>
      </c>
      <c r="K15" s="52">
        <v>-3008</v>
      </c>
      <c r="L15">
        <v>-50</v>
      </c>
      <c r="M15">
        <v>-74</v>
      </c>
      <c r="N15" s="52">
        <v>-12677</v>
      </c>
    </row>
    <row r="16" spans="2:14" x14ac:dyDescent="0.3">
      <c r="B16" t="s">
        <v>138</v>
      </c>
      <c r="C16">
        <v>4</v>
      </c>
      <c r="D16">
        <v>42</v>
      </c>
      <c r="E16">
        <v>89</v>
      </c>
      <c r="F16" s="52">
        <v>1965</v>
      </c>
      <c r="G16" s="52">
        <v>2381</v>
      </c>
      <c r="H16" s="52">
        <v>5644</v>
      </c>
      <c r="I16">
        <v>21</v>
      </c>
      <c r="J16">
        <v>226</v>
      </c>
      <c r="K16">
        <v>104</v>
      </c>
      <c r="L16" s="52">
        <v>6895</v>
      </c>
      <c r="M16" s="52">
        <v>10821</v>
      </c>
      <c r="N16">
        <v>111</v>
      </c>
    </row>
    <row r="17" spans="2:14" x14ac:dyDescent="0.3">
      <c r="B17" t="s">
        <v>139</v>
      </c>
      <c r="C17">
        <v>653</v>
      </c>
      <c r="D17">
        <v>698</v>
      </c>
      <c r="E17">
        <v>731</v>
      </c>
      <c r="F17">
        <v>638</v>
      </c>
      <c r="G17">
        <v>690</v>
      </c>
      <c r="H17">
        <v>761</v>
      </c>
      <c r="I17" s="52">
        <v>1104</v>
      </c>
      <c r="J17">
        <v>428</v>
      </c>
      <c r="K17">
        <v>653</v>
      </c>
      <c r="L17">
        <v>973</v>
      </c>
      <c r="M17" s="52">
        <v>2493</v>
      </c>
      <c r="N17" s="52">
        <v>2420</v>
      </c>
    </row>
    <row r="18" spans="2:14" x14ac:dyDescent="0.3">
      <c r="B18" t="s">
        <v>140</v>
      </c>
      <c r="C18">
        <v>40</v>
      </c>
      <c r="D18">
        <v>80</v>
      </c>
      <c r="E18">
        <v>58</v>
      </c>
      <c r="F18">
        <v>620</v>
      </c>
      <c r="G18" s="52">
        <v>1797</v>
      </c>
      <c r="H18">
        <v>232</v>
      </c>
      <c r="I18">
        <v>21</v>
      </c>
      <c r="J18">
        <v>18</v>
      </c>
      <c r="K18">
        <v>32</v>
      </c>
      <c r="L18">
        <v>46</v>
      </c>
      <c r="M18">
        <v>47</v>
      </c>
      <c r="N18">
        <v>64</v>
      </c>
    </row>
    <row r="19" spans="2:14" x14ac:dyDescent="0.3">
      <c r="B19" t="s">
        <v>141</v>
      </c>
      <c r="C19">
        <v>0</v>
      </c>
      <c r="D19">
        <v>-160</v>
      </c>
      <c r="E19">
        <v>0</v>
      </c>
      <c r="F19">
        <v>-107</v>
      </c>
      <c r="G19">
        <v>-4</v>
      </c>
      <c r="H19">
        <v>-9</v>
      </c>
      <c r="I19">
        <v>-606</v>
      </c>
      <c r="J19">
        <v>-10</v>
      </c>
      <c r="K19">
        <v>0</v>
      </c>
      <c r="L19">
        <v>0</v>
      </c>
      <c r="M19">
        <v>-150</v>
      </c>
      <c r="N19">
        <v>0</v>
      </c>
    </row>
    <row r="20" spans="2:14" x14ac:dyDescent="0.3">
      <c r="B20" t="s">
        <v>142</v>
      </c>
      <c r="C20">
        <v>0</v>
      </c>
      <c r="D20">
        <v>0</v>
      </c>
      <c r="E20">
        <v>0</v>
      </c>
      <c r="F20">
        <v>0</v>
      </c>
      <c r="G20">
        <v>14</v>
      </c>
      <c r="H20">
        <v>533</v>
      </c>
      <c r="I20">
        <v>0</v>
      </c>
      <c r="J20">
        <v>0</v>
      </c>
      <c r="K20">
        <v>0</v>
      </c>
      <c r="L20">
        <v>19</v>
      </c>
      <c r="M20">
        <v>107</v>
      </c>
      <c r="N20">
        <v>765</v>
      </c>
    </row>
    <row r="21" spans="2:14" x14ac:dyDescent="0.3">
      <c r="B21" t="s">
        <v>143</v>
      </c>
      <c r="C21">
        <v>-185</v>
      </c>
      <c r="D21">
        <v>0</v>
      </c>
      <c r="E21">
        <v>-111</v>
      </c>
      <c r="F21">
        <v>0</v>
      </c>
      <c r="G21">
        <v>0</v>
      </c>
      <c r="H21">
        <v>-8</v>
      </c>
      <c r="I21">
        <v>-27</v>
      </c>
      <c r="J21">
        <v>0</v>
      </c>
      <c r="K21">
        <v>-98</v>
      </c>
      <c r="L21">
        <v>0</v>
      </c>
      <c r="M21">
        <v>0</v>
      </c>
      <c r="N21">
        <v>-688</v>
      </c>
    </row>
    <row r="22" spans="2:14" x14ac:dyDescent="0.3">
      <c r="B22" t="s">
        <v>144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-25</v>
      </c>
      <c r="N22">
        <v>-20</v>
      </c>
    </row>
    <row r="23" spans="2:14" x14ac:dyDescent="0.3">
      <c r="B23" t="s">
        <v>145</v>
      </c>
      <c r="C23" s="52">
        <v>-1149</v>
      </c>
      <c r="D23">
        <v>456</v>
      </c>
      <c r="E23" s="52">
        <v>-1289</v>
      </c>
      <c r="F23" s="52">
        <v>-26663</v>
      </c>
      <c r="G23" s="52">
        <v>5360</v>
      </c>
      <c r="H23" s="52">
        <v>7335</v>
      </c>
      <c r="I23" s="52">
        <v>-2659</v>
      </c>
      <c r="J23" s="52">
        <v>1051</v>
      </c>
      <c r="K23" s="52">
        <v>12813</v>
      </c>
      <c r="L23" s="52">
        <v>-4357</v>
      </c>
      <c r="M23" s="52">
        <v>-4817</v>
      </c>
      <c r="N23" s="52">
        <v>-2889</v>
      </c>
    </row>
    <row r="24" spans="2:14" x14ac:dyDescent="0.3">
      <c r="B24" t="s">
        <v>146</v>
      </c>
      <c r="C24" s="52">
        <v>-3883</v>
      </c>
      <c r="D24" s="52">
        <v>5201</v>
      </c>
      <c r="E24" s="52">
        <v>-3795</v>
      </c>
      <c r="F24" s="52">
        <v>6205</v>
      </c>
      <c r="G24" s="52">
        <v>2012</v>
      </c>
      <c r="H24" s="52">
        <v>8830</v>
      </c>
      <c r="I24" s="52">
        <v>3390</v>
      </c>
      <c r="J24" s="52">
        <v>9904</v>
      </c>
      <c r="K24" s="52">
        <v>-3380</v>
      </c>
      <c r="L24" s="52">
        <v>-26243</v>
      </c>
      <c r="M24" s="52">
        <v>-37006</v>
      </c>
      <c r="N24" s="52">
        <v>-18786</v>
      </c>
    </row>
    <row r="25" spans="2:14" x14ac:dyDescent="0.3">
      <c r="B25" t="s">
        <v>147</v>
      </c>
      <c r="C25">
        <v>0</v>
      </c>
      <c r="D25">
        <v>0</v>
      </c>
      <c r="E25" s="52">
        <v>7433</v>
      </c>
      <c r="F25">
        <v>5</v>
      </c>
      <c r="G25">
        <v>0</v>
      </c>
      <c r="H25">
        <v>0</v>
      </c>
      <c r="I25" s="52">
        <v>3889</v>
      </c>
      <c r="J25" s="52">
        <v>2603</v>
      </c>
      <c r="K25">
        <v>19</v>
      </c>
      <c r="L25">
        <v>20</v>
      </c>
      <c r="M25">
        <v>82</v>
      </c>
      <c r="N25" s="52">
        <v>1108</v>
      </c>
    </row>
    <row r="26" spans="2:14" x14ac:dyDescent="0.3">
      <c r="B26" t="s">
        <v>148</v>
      </c>
      <c r="C26">
        <v>-658</v>
      </c>
      <c r="D26">
        <v>-744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">
      <c r="B27" t="s">
        <v>149</v>
      </c>
      <c r="C27" s="52">
        <v>33258</v>
      </c>
      <c r="D27" s="52">
        <v>36363</v>
      </c>
      <c r="E27" s="52">
        <v>19519</v>
      </c>
      <c r="F27" s="52">
        <v>33390</v>
      </c>
      <c r="G27" s="52">
        <v>37482</v>
      </c>
      <c r="H27" s="52">
        <v>51128</v>
      </c>
      <c r="I27" s="52">
        <v>38297</v>
      </c>
      <c r="J27" s="52">
        <v>46641</v>
      </c>
      <c r="K27" s="52">
        <v>46578</v>
      </c>
      <c r="L27" s="52">
        <v>43934</v>
      </c>
      <c r="M27" s="52">
        <v>18829</v>
      </c>
      <c r="N27" s="52">
        <v>13384</v>
      </c>
    </row>
    <row r="28" spans="2:14" x14ac:dyDescent="0.3">
      <c r="B28" t="s">
        <v>150</v>
      </c>
      <c r="C28" s="52">
        <v>-29141</v>
      </c>
      <c r="D28" s="52">
        <v>-23332</v>
      </c>
      <c r="E28" s="52">
        <v>-24924</v>
      </c>
      <c r="F28" s="52">
        <v>-21732</v>
      </c>
      <c r="G28" s="52">
        <v>-29964</v>
      </c>
      <c r="H28" s="52">
        <v>-35198</v>
      </c>
      <c r="I28" s="52">
        <v>-29847</v>
      </c>
      <c r="J28" s="52">
        <v>-29709</v>
      </c>
      <c r="K28" s="52">
        <v>-42816</v>
      </c>
      <c r="L28" s="52">
        <v>-62557</v>
      </c>
      <c r="M28" s="52">
        <v>-47414</v>
      </c>
      <c r="N28" s="52">
        <v>-21443</v>
      </c>
    </row>
    <row r="29" spans="2:14" x14ac:dyDescent="0.3">
      <c r="B29" t="s">
        <v>151</v>
      </c>
      <c r="C29" s="52">
        <v>-6171</v>
      </c>
      <c r="D29" s="52">
        <v>-6307</v>
      </c>
      <c r="E29" s="52">
        <v>-5716</v>
      </c>
      <c r="F29" s="52">
        <v>-5336</v>
      </c>
      <c r="G29" s="52">
        <v>-5411</v>
      </c>
      <c r="H29" s="52">
        <v>-7005</v>
      </c>
      <c r="I29" s="52">
        <v>-7518</v>
      </c>
      <c r="J29" s="52">
        <v>-8123</v>
      </c>
      <c r="K29" s="52">
        <v>-9251</v>
      </c>
      <c r="L29" s="52">
        <v>-9336</v>
      </c>
      <c r="M29" s="52">
        <v>-9332</v>
      </c>
      <c r="N29" s="52">
        <v>-5814</v>
      </c>
    </row>
    <row r="30" spans="2:14" x14ac:dyDescent="0.3">
      <c r="B30" t="s">
        <v>152</v>
      </c>
      <c r="C30">
        <v>-722</v>
      </c>
      <c r="D30">
        <v>-720</v>
      </c>
      <c r="E30">
        <v>-108</v>
      </c>
      <c r="F30">
        <v>-121</v>
      </c>
      <c r="G30">
        <v>-96</v>
      </c>
      <c r="H30">
        <v>-95</v>
      </c>
      <c r="I30">
        <v>-57</v>
      </c>
      <c r="J30">
        <v>-30</v>
      </c>
      <c r="K30">
        <v>-100</v>
      </c>
      <c r="L30">
        <v>-141</v>
      </c>
      <c r="M30" s="52">
        <v>-1059</v>
      </c>
      <c r="N30" s="52">
        <v>-2492</v>
      </c>
    </row>
    <row r="31" spans="2:14" x14ac:dyDescent="0.3">
      <c r="B31" t="s">
        <v>153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52">
        <v>-1346</v>
      </c>
      <c r="J31" s="52">
        <v>-1477</v>
      </c>
      <c r="K31" s="52">
        <v>-1559</v>
      </c>
      <c r="L31" s="52">
        <v>-1517</v>
      </c>
      <c r="M31" s="52">
        <v>-1924</v>
      </c>
      <c r="N31" s="52">
        <v>-2393</v>
      </c>
    </row>
    <row r="32" spans="2:14" x14ac:dyDescent="0.3">
      <c r="B32" t="s">
        <v>154</v>
      </c>
      <c r="C32">
        <v>-450</v>
      </c>
      <c r="D32">
        <v>-57</v>
      </c>
      <c r="E32">
        <v>0</v>
      </c>
      <c r="F32">
        <v>0</v>
      </c>
      <c r="G32">
        <v>0</v>
      </c>
      <c r="H32">
        <v>0</v>
      </c>
      <c r="I32">
        <v>-29</v>
      </c>
      <c r="J32">
        <v>0</v>
      </c>
      <c r="K32" s="52">
        <v>3750</v>
      </c>
      <c r="L32" s="52">
        <v>3355</v>
      </c>
      <c r="M32" s="52">
        <v>3812</v>
      </c>
      <c r="N32" s="52">
        <v>-1136</v>
      </c>
    </row>
    <row r="33" spans="2:14" x14ac:dyDescent="0.3">
      <c r="B33" t="s">
        <v>35</v>
      </c>
      <c r="C33" s="52">
        <v>4277</v>
      </c>
      <c r="D33" s="52">
        <v>4500</v>
      </c>
      <c r="E33" s="52">
        <v>-2589</v>
      </c>
      <c r="F33" s="52">
        <v>-3167</v>
      </c>
      <c r="G33">
        <v>730</v>
      </c>
      <c r="H33" s="52">
        <v>6843</v>
      </c>
      <c r="I33" s="52">
        <v>-3092</v>
      </c>
      <c r="J33" s="52">
        <v>13232</v>
      </c>
      <c r="K33" s="52">
        <v>6459</v>
      </c>
      <c r="L33" s="52">
        <v>-6272</v>
      </c>
      <c r="M33" s="52">
        <v>8128</v>
      </c>
      <c r="N33" s="52">
        <v>-5666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2">
      <c r="A1" s="8" t="str">
        <f>'Data Sheet'!B1</f>
        <v>TATA MOTORS LTD</v>
      </c>
      <c r="H1" t="str">
        <f>UPDATE</f>
        <v/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  <v>42460</v>
      </c>
      <c r="C3" s="16">
        <f>'Data Sheet'!C16</f>
        <v>42825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  <v>273045.59999999998</v>
      </c>
      <c r="C4" s="1">
        <f>'Data Sheet'!C17</f>
        <v>269692.51</v>
      </c>
      <c r="D4" s="1">
        <f>'Data Sheet'!D17</f>
        <v>291550.48</v>
      </c>
      <c r="E4" s="1">
        <f>'Data Sheet'!E17</f>
        <v>301938.40000000002</v>
      </c>
      <c r="F4" s="1">
        <f>'Data Sheet'!F17</f>
        <v>261067.97</v>
      </c>
      <c r="G4" s="1">
        <f>'Data Sheet'!G17</f>
        <v>249794.75</v>
      </c>
      <c r="H4" s="1">
        <f>'Data Sheet'!H17</f>
        <v>278453.62</v>
      </c>
      <c r="I4" s="1">
        <f>'Data Sheet'!I17</f>
        <v>345966.97</v>
      </c>
      <c r="J4" s="1">
        <f>'Data Sheet'!J17</f>
        <v>434016</v>
      </c>
      <c r="K4" s="1">
        <f>'Data Sheet'!K17</f>
        <v>439695</v>
      </c>
      <c r="L4" s="1">
        <f>SUM(Quarters!H4:K4)</f>
        <v>441609</v>
      </c>
      <c r="M4" s="1">
        <f>$K4+M23*K4</f>
        <v>512017.03850373905</v>
      </c>
      <c r="N4" s="1">
        <f>$K4+N23*L4</f>
        <v>445473.35266672197</v>
      </c>
    </row>
    <row r="5" spans="1:14" x14ac:dyDescent="0.2">
      <c r="A5" s="6" t="s">
        <v>7</v>
      </c>
      <c r="B5" s="9">
        <f>SUM('Data Sheet'!B18,'Data Sheet'!B20:B24, -1*'Data Sheet'!B19)</f>
        <v>234650.35</v>
      </c>
      <c r="C5" s="9">
        <f>SUM('Data Sheet'!C18,'Data Sheet'!C20:C24, -1*'Data Sheet'!C19)</f>
        <v>240103.81999999998</v>
      </c>
      <c r="D5" s="9">
        <f>SUM('Data Sheet'!D18,'Data Sheet'!D20:D24, -1*'Data Sheet'!D19)</f>
        <v>260092.80000000002</v>
      </c>
      <c r="E5" s="9">
        <f>SUM('Data Sheet'!E18,'Data Sheet'!E20:E24, -1*'Data Sheet'!E19)</f>
        <v>277274.07</v>
      </c>
      <c r="F5" s="9">
        <f>SUM('Data Sheet'!F18,'Data Sheet'!F20:F24, -1*'Data Sheet'!F19)</f>
        <v>243080.90000000005</v>
      </c>
      <c r="G5" s="9">
        <f>SUM('Data Sheet'!G18,'Data Sheet'!G20:G24, -1*'Data Sheet'!G19)</f>
        <v>217507.32</v>
      </c>
      <c r="H5" s="9">
        <f>SUM('Data Sheet'!H18,'Data Sheet'!H20:H24, -1*'Data Sheet'!H19)</f>
        <v>253733.52999999997</v>
      </c>
      <c r="I5" s="9">
        <f>SUM('Data Sheet'!I18,'Data Sheet'!I20:I24, -1*'Data Sheet'!I19)</f>
        <v>314151.17000000004</v>
      </c>
      <c r="J5" s="9">
        <f>SUM('Data Sheet'!J18,'Data Sheet'!J20:J24, -1*'Data Sheet'!J19)</f>
        <v>376192</v>
      </c>
      <c r="K5" s="9">
        <f>SUM('Data Sheet'!K18,'Data Sheet'!K20:K24, -1*'Data Sheet'!K19)</f>
        <v>384479</v>
      </c>
      <c r="L5" s="9">
        <f>SUM(Quarters!H5:K5)</f>
        <v>384424</v>
      </c>
      <c r="M5" s="9">
        <f t="shared" ref="M5:N5" si="0">M4-M6</f>
        <v>445714.73409681726</v>
      </c>
      <c r="N5" s="9">
        <f t="shared" si="0"/>
        <v>398338.79456236039</v>
      </c>
    </row>
    <row r="6" spans="1:14" s="8" customFormat="1" x14ac:dyDescent="0.2">
      <c r="A6" s="8" t="s">
        <v>8</v>
      </c>
      <c r="B6" s="1">
        <f>B4-B5</f>
        <v>38395.249999999971</v>
      </c>
      <c r="C6" s="1">
        <f t="shared" ref="C6:K6" si="1">C4-C5</f>
        <v>29588.690000000031</v>
      </c>
      <c r="D6" s="1">
        <f t="shared" si="1"/>
        <v>31457.679999999964</v>
      </c>
      <c r="E6" s="1">
        <f t="shared" si="1"/>
        <v>24664.330000000016</v>
      </c>
      <c r="F6" s="1">
        <f t="shared" si="1"/>
        <v>17987.069999999949</v>
      </c>
      <c r="G6" s="1">
        <f t="shared" si="1"/>
        <v>32287.429999999993</v>
      </c>
      <c r="H6" s="1">
        <f t="shared" si="1"/>
        <v>24720.090000000026</v>
      </c>
      <c r="I6" s="1">
        <f t="shared" si="1"/>
        <v>31815.79999999993</v>
      </c>
      <c r="J6" s="1">
        <f t="shared" si="1"/>
        <v>57824</v>
      </c>
      <c r="K6" s="1">
        <f t="shared" si="1"/>
        <v>55216</v>
      </c>
      <c r="L6" s="1">
        <f>SUM(Quarters!H6:K6)</f>
        <v>57185</v>
      </c>
      <c r="M6" s="1">
        <f>M4*M24</f>
        <v>66302.304406921787</v>
      </c>
      <c r="N6" s="1">
        <f>N4*N24</f>
        <v>47134.558104361568</v>
      </c>
    </row>
    <row r="7" spans="1:14" x14ac:dyDescent="0.2">
      <c r="A7" s="6" t="s">
        <v>9</v>
      </c>
      <c r="B7" s="9">
        <f>'Data Sheet'!B25</f>
        <v>-2669.62</v>
      </c>
      <c r="C7" s="9">
        <f>'Data Sheet'!C25</f>
        <v>1869.1</v>
      </c>
      <c r="D7" s="9">
        <f>'Data Sheet'!D25</f>
        <v>5932.73</v>
      </c>
      <c r="E7" s="9">
        <f>'Data Sheet'!E25</f>
        <v>-26686.25</v>
      </c>
      <c r="F7" s="9">
        <f>'Data Sheet'!F25</f>
        <v>101.71</v>
      </c>
      <c r="G7" s="9">
        <f>'Data Sheet'!G25</f>
        <v>-11117.83</v>
      </c>
      <c r="H7" s="9">
        <f>'Data Sheet'!H25</f>
        <v>2424.0500000000002</v>
      </c>
      <c r="I7" s="9">
        <f>'Data Sheet'!I25</f>
        <v>6663.97</v>
      </c>
      <c r="J7" s="9">
        <f>'Data Sheet'!J25</f>
        <v>4792</v>
      </c>
      <c r="K7" s="9">
        <f>'Data Sheet'!K25</f>
        <v>11774</v>
      </c>
      <c r="L7" s="9">
        <f>SUM(Quarters!H7:K7)</f>
        <v>6151</v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  <v>16710.78</v>
      </c>
      <c r="C8" s="9">
        <f>'Data Sheet'!C26</f>
        <v>17904.990000000002</v>
      </c>
      <c r="D8" s="9">
        <f>'Data Sheet'!D26</f>
        <v>21553.59</v>
      </c>
      <c r="E8" s="9">
        <f>'Data Sheet'!E26</f>
        <v>23590.63</v>
      </c>
      <c r="F8" s="9">
        <f>'Data Sheet'!F26</f>
        <v>21425.43</v>
      </c>
      <c r="G8" s="9">
        <f>'Data Sheet'!G26</f>
        <v>23546.71</v>
      </c>
      <c r="H8" s="9">
        <f>'Data Sheet'!H26</f>
        <v>24835.69</v>
      </c>
      <c r="I8" s="9">
        <f>'Data Sheet'!I26</f>
        <v>24860.36</v>
      </c>
      <c r="J8" s="9">
        <f>'Data Sheet'!J26</f>
        <v>27239</v>
      </c>
      <c r="K8" s="9">
        <f>'Data Sheet'!K26</f>
        <v>23256</v>
      </c>
      <c r="L8" s="9">
        <f>SUM(Quarters!H8:K8)</f>
        <v>23273</v>
      </c>
      <c r="M8" s="9">
        <f>+$L8</f>
        <v>23273</v>
      </c>
      <c r="N8" s="9">
        <f>+$L8</f>
        <v>23273</v>
      </c>
    </row>
    <row r="9" spans="1:14" x14ac:dyDescent="0.2">
      <c r="A9" s="6" t="s">
        <v>11</v>
      </c>
      <c r="B9" s="9">
        <f>'Data Sheet'!B27</f>
        <v>4889.08</v>
      </c>
      <c r="C9" s="9">
        <f>'Data Sheet'!C27</f>
        <v>4238.01</v>
      </c>
      <c r="D9" s="9">
        <f>'Data Sheet'!D27</f>
        <v>4681.79</v>
      </c>
      <c r="E9" s="9">
        <f>'Data Sheet'!E27</f>
        <v>5758.6</v>
      </c>
      <c r="F9" s="9">
        <f>'Data Sheet'!F27</f>
        <v>7243.33</v>
      </c>
      <c r="G9" s="9">
        <f>'Data Sheet'!G27</f>
        <v>8097.17</v>
      </c>
      <c r="H9" s="9">
        <f>'Data Sheet'!H27</f>
        <v>9311.86</v>
      </c>
      <c r="I9" s="9">
        <f>'Data Sheet'!I27</f>
        <v>10225.48</v>
      </c>
      <c r="J9" s="9">
        <f>'Data Sheet'!J27</f>
        <v>7594</v>
      </c>
      <c r="K9" s="9">
        <f>'Data Sheet'!K27</f>
        <v>5083</v>
      </c>
      <c r="L9" s="9">
        <f>SUM(Quarters!H9:K9)</f>
        <v>6317</v>
      </c>
      <c r="M9" s="9">
        <f>+$L9</f>
        <v>6317</v>
      </c>
      <c r="N9" s="9">
        <f>+$L9</f>
        <v>6317</v>
      </c>
    </row>
    <row r="10" spans="1:14" x14ac:dyDescent="0.2">
      <c r="A10" s="6" t="s">
        <v>12</v>
      </c>
      <c r="B10" s="9">
        <f>'Data Sheet'!B28</f>
        <v>14125.77</v>
      </c>
      <c r="C10" s="9">
        <f>'Data Sheet'!C28</f>
        <v>9314.7900000000009</v>
      </c>
      <c r="D10" s="9">
        <f>'Data Sheet'!D28</f>
        <v>11155.03</v>
      </c>
      <c r="E10" s="9">
        <f>'Data Sheet'!E28</f>
        <v>-31371.15</v>
      </c>
      <c r="F10" s="9">
        <f>'Data Sheet'!F28</f>
        <v>-10579.98</v>
      </c>
      <c r="G10" s="9">
        <f>'Data Sheet'!G28</f>
        <v>-10474.280000000001</v>
      </c>
      <c r="H10" s="9">
        <f>'Data Sheet'!H28</f>
        <v>-7003.41</v>
      </c>
      <c r="I10" s="9">
        <f>'Data Sheet'!I28</f>
        <v>3393.93</v>
      </c>
      <c r="J10" s="9">
        <f>'Data Sheet'!J28</f>
        <v>27783</v>
      </c>
      <c r="K10" s="9">
        <f>'Data Sheet'!K28</f>
        <v>38651</v>
      </c>
      <c r="L10" s="9">
        <f>SUM(Quarters!H10:K10)</f>
        <v>33746</v>
      </c>
      <c r="M10" s="9">
        <f>M6+M7-SUM(M8:M9)</f>
        <v>36712.304406921787</v>
      </c>
      <c r="N10" s="9">
        <f>N6+N7-SUM(N8:N9)</f>
        <v>17544.558104361568</v>
      </c>
    </row>
    <row r="11" spans="1:14" x14ac:dyDescent="0.2">
      <c r="A11" s="6" t="s">
        <v>13</v>
      </c>
      <c r="B11" s="9">
        <f>'Data Sheet'!B29</f>
        <v>3025.05</v>
      </c>
      <c r="C11" s="9">
        <f>'Data Sheet'!C29</f>
        <v>3251.23</v>
      </c>
      <c r="D11" s="9">
        <f>'Data Sheet'!D29</f>
        <v>4341.93</v>
      </c>
      <c r="E11" s="9">
        <f>'Data Sheet'!E29</f>
        <v>-2437.4499999999998</v>
      </c>
      <c r="F11" s="9">
        <f>'Data Sheet'!F29</f>
        <v>395.25</v>
      </c>
      <c r="G11" s="9">
        <f>'Data Sheet'!G29</f>
        <v>2541.86</v>
      </c>
      <c r="H11" s="9">
        <f>'Data Sheet'!H29</f>
        <v>4231.29</v>
      </c>
      <c r="I11" s="9">
        <f>'Data Sheet'!I29</f>
        <v>704.06</v>
      </c>
      <c r="J11" s="9">
        <f>'Data Sheet'!J29</f>
        <v>-4024</v>
      </c>
      <c r="K11" s="9">
        <f>'Data Sheet'!K29</f>
        <v>10502</v>
      </c>
      <c r="L11" s="9">
        <f>SUM(Quarters!H11:K11)</f>
        <v>10563</v>
      </c>
      <c r="M11" s="10">
        <f>IF($L10&gt;0,$L11/$L10,0)</f>
        <v>0.31301487583713627</v>
      </c>
      <c r="N11" s="10">
        <f>IF($L10&gt;0,$L11/$L10,0)</f>
        <v>0.31301487583713627</v>
      </c>
    </row>
    <row r="12" spans="1:14" s="8" customFormat="1" x14ac:dyDescent="0.2">
      <c r="A12" s="8" t="s">
        <v>14</v>
      </c>
      <c r="B12" s="1">
        <f>'Data Sheet'!B30</f>
        <v>11579.31</v>
      </c>
      <c r="C12" s="1">
        <f>'Data Sheet'!C30</f>
        <v>7454.36</v>
      </c>
      <c r="D12" s="1">
        <f>'Data Sheet'!D30</f>
        <v>8988.91</v>
      </c>
      <c r="E12" s="1">
        <f>'Data Sheet'!E30</f>
        <v>-28826.23</v>
      </c>
      <c r="F12" s="1">
        <f>'Data Sheet'!F30</f>
        <v>-12070.85</v>
      </c>
      <c r="G12" s="1">
        <f>'Data Sheet'!G30</f>
        <v>-13451.39</v>
      </c>
      <c r="H12" s="1">
        <f>'Data Sheet'!H30</f>
        <v>-11441.47</v>
      </c>
      <c r="I12" s="1">
        <f>'Data Sheet'!I30</f>
        <v>2414.29</v>
      </c>
      <c r="J12" s="1">
        <f>'Data Sheet'!J30</f>
        <v>31399</v>
      </c>
      <c r="K12" s="1">
        <f>'Data Sheet'!K30</f>
        <v>27830</v>
      </c>
      <c r="L12" s="1">
        <f>SUM(Quarters!H12:K12)</f>
        <v>22785</v>
      </c>
      <c r="M12" s="1">
        <f>M10-M11*M10</f>
        <v>25220.807001294015</v>
      </c>
      <c r="N12" s="1">
        <f>N10-N11*N10</f>
        <v>12052.85042770741</v>
      </c>
    </row>
    <row r="13" spans="1:14" x14ac:dyDescent="0.2">
      <c r="A13" s="11" t="s">
        <v>57</v>
      </c>
      <c r="B13" s="9">
        <f>IF('Data Sheet'!B93&gt;0,B12/'Data Sheet'!B93,0)</f>
        <v>40.105673316708227</v>
      </c>
      <c r="C13" s="9">
        <f>IF('Data Sheet'!C93&gt;0,C12/'Data Sheet'!C93,0)</f>
        <v>25.817753610639695</v>
      </c>
      <c r="D13" s="9">
        <f>IF('Data Sheet'!D93&gt;0,D12/'Data Sheet'!D93,0)</f>
        <v>31.132580611644094</v>
      </c>
      <c r="E13" s="9">
        <f>IF('Data Sheet'!E93&gt;0,E12/'Data Sheet'!E93,0)</f>
        <v>-99.838014754268684</v>
      </c>
      <c r="F13" s="9">
        <f>IF('Data Sheet'!F93&gt;0,F12/'Data Sheet'!F93,0)</f>
        <v>-39.076885723535128</v>
      </c>
      <c r="G13" s="9">
        <f>IF('Data Sheet'!G93&gt;0,G12/'Data Sheet'!G93,0)</f>
        <v>-40.512574164985097</v>
      </c>
      <c r="H13" s="9">
        <f>IF('Data Sheet'!H93&gt;0,H12/'Data Sheet'!H93,0)</f>
        <v>-34.454994428885477</v>
      </c>
      <c r="I13" s="9">
        <f>IF('Data Sheet'!I93&gt;0,I12/'Data Sheet'!I93,0)</f>
        <v>7.2691114924878812</v>
      </c>
      <c r="J13" s="9">
        <f>IF('Data Sheet'!J93&gt;0,J12/'Data Sheet'!J93,0)</f>
        <v>94.470018353040288</v>
      </c>
      <c r="K13" s="9">
        <f>IF('Data Sheet'!K93&gt;0,K12/'Data Sheet'!K93,0)</f>
        <v>75.598294080895343</v>
      </c>
      <c r="L13" s="9">
        <f>IF('Data Sheet'!$B6&gt;0,'Profit &amp; Loss'!L12/'Data Sheet'!$B6,0)</f>
        <v>61.891179590941881</v>
      </c>
      <c r="M13" s="9">
        <f>IF('Data Sheet'!$B6&gt;0,'Profit &amp; Loss'!M12/'Data Sheet'!$B6,0)</f>
        <v>68.507592519006906</v>
      </c>
      <c r="N13" s="9">
        <f>IF('Data Sheet'!$B6&gt;0,'Profit &amp; Loss'!N12/'Data Sheet'!$B6,0)</f>
        <v>32.73930789572087</v>
      </c>
    </row>
    <row r="14" spans="1:14" x14ac:dyDescent="0.2">
      <c r="A14" s="6" t="s">
        <v>16</v>
      </c>
      <c r="B14" s="9">
        <f>IF(B15&gt;0,B15/B13,"")</f>
        <v>9.6395339618681959</v>
      </c>
      <c r="C14" s="9">
        <f t="shared" ref="C14:K14" si="2">IF(C15&gt;0,C15/C13,"")</f>
        <v>18.043785180753279</v>
      </c>
      <c r="D14" s="9">
        <f t="shared" si="2"/>
        <v>10.4986478338308</v>
      </c>
      <c r="E14" s="9">
        <f t="shared" si="2"/>
        <v>-1.7453271725092045</v>
      </c>
      <c r="F14" s="9">
        <f t="shared" si="2"/>
        <v>-1.8182103994333454</v>
      </c>
      <c r="G14" s="9">
        <f t="shared" si="2"/>
        <v>-7.4495389695786081</v>
      </c>
      <c r="H14" s="9">
        <f t="shared" si="2"/>
        <v>-12.588886087189845</v>
      </c>
      <c r="I14" s="9">
        <f t="shared" si="2"/>
        <v>57.88878055246056</v>
      </c>
      <c r="J14" s="9">
        <f t="shared" si="2"/>
        <v>10.509154304277205</v>
      </c>
      <c r="K14" s="9">
        <f t="shared" si="2"/>
        <v>8.9214976104922741</v>
      </c>
      <c r="L14" s="9">
        <f t="shared" ref="L14" si="3">IF(L13&gt;0,L15/L13,0)</f>
        <v>11.124363835856924</v>
      </c>
      <c r="M14" s="9">
        <f>M25</f>
        <v>22.110949075771739</v>
      </c>
      <c r="N14" s="9">
        <f>N25</f>
        <v>11.124363835856924</v>
      </c>
    </row>
    <row r="15" spans="1:14" s="8" customFormat="1" x14ac:dyDescent="0.2">
      <c r="A15" s="8" t="s">
        <v>58</v>
      </c>
      <c r="B15" s="1">
        <f>'Data Sheet'!B90</f>
        <v>386.6</v>
      </c>
      <c r="C15" s="1">
        <f>'Data Sheet'!C90</f>
        <v>465.85</v>
      </c>
      <c r="D15" s="1">
        <f>'Data Sheet'!D90</f>
        <v>326.85000000000002</v>
      </c>
      <c r="E15" s="1">
        <f>'Data Sheet'!E90</f>
        <v>174.25</v>
      </c>
      <c r="F15" s="1">
        <f>'Data Sheet'!F90</f>
        <v>71.05</v>
      </c>
      <c r="G15" s="1">
        <f>'Data Sheet'!G90</f>
        <v>301.8</v>
      </c>
      <c r="H15" s="1">
        <f>'Data Sheet'!H90</f>
        <v>433.75</v>
      </c>
      <c r="I15" s="1">
        <f>'Data Sheet'!I90</f>
        <v>420.8</v>
      </c>
      <c r="J15" s="1">
        <f>'Data Sheet'!J90</f>
        <v>992.8</v>
      </c>
      <c r="K15" s="1">
        <f>'Data Sheet'!K90</f>
        <v>674.45</v>
      </c>
      <c r="L15" s="1">
        <f>'Data Sheet'!B8</f>
        <v>688.5</v>
      </c>
      <c r="M15" s="12">
        <f>M13*M14</f>
        <v>1514.7678894914827</v>
      </c>
      <c r="N15" s="13">
        <f>N13*N14</f>
        <v>364.20397276614227</v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  <v>5.8656344808110331E-3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0.31728582730326516</v>
      </c>
      <c r="J18" s="7">
        <f>IF('Data Sheet'!J30&gt;0, 'Data Sheet'!J31/'Data Sheet'!J30, 0)</f>
        <v>7.3282588617471889E-2</v>
      </c>
      <c r="K18" s="7">
        <f>IF('Data Sheet'!K30&gt;0, 'Data Sheet'!K31/'Data Sheet'!K30, 0)</f>
        <v>7.9338842975206617E-2</v>
      </c>
    </row>
    <row r="19" spans="1:14" x14ac:dyDescent="0.2">
      <c r="A19" s="6" t="s">
        <v>18</v>
      </c>
      <c r="B19" s="7">
        <f t="shared" ref="B19:L19" si="4">IF(B6&gt;0,B6/B4,0)</f>
        <v>0.14061845347443788</v>
      </c>
      <c r="C19" s="7">
        <f t="shared" ref="C19:K19" si="5">IF(C6&gt;0,C6/C4,0)</f>
        <v>0.10971268723777323</v>
      </c>
      <c r="D19" s="7">
        <f t="shared" si="5"/>
        <v>0.10789788444182964</v>
      </c>
      <c r="E19" s="7">
        <f t="shared" si="5"/>
        <v>8.1686628795807403E-2</v>
      </c>
      <c r="F19" s="7">
        <f t="shared" si="5"/>
        <v>6.8898034485042142E-2</v>
      </c>
      <c r="G19" s="7">
        <f t="shared" si="5"/>
        <v>0.12925583904385499</v>
      </c>
      <c r="H19" s="7">
        <f t="shared" si="5"/>
        <v>8.8776328352276501E-2</v>
      </c>
      <c r="I19" s="7">
        <f t="shared" si="5"/>
        <v>9.1961958102531965E-2</v>
      </c>
      <c r="J19" s="7">
        <f t="shared" si="5"/>
        <v>0.13323011133230112</v>
      </c>
      <c r="K19" s="7">
        <f t="shared" si="5"/>
        <v>0.12557795744777631</v>
      </c>
      <c r="L19" s="7">
        <f t="shared" si="4"/>
        <v>0.12949237900495689</v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5.4364329974180503E-2</v>
      </c>
      <c r="I23" s="7">
        <f>IF(D4=0,"",POWER($K4/D4,1/7)-1)</f>
        <v>6.0452229419457382E-2</v>
      </c>
      <c r="J23" s="7">
        <f>IF(F4=0,"",POWER($K4/F4,1/5)-1)</f>
        <v>0.10988910171869626</v>
      </c>
      <c r="K23" s="7">
        <f>IF(H4=0,"",POWER($K4/H4, 1/3)-1)</f>
        <v>0.164482285456371</v>
      </c>
      <c r="L23" s="7">
        <f>IF(ISERROR(MAX(IF(J4=0,"",(K4-J4)/J4),IF(K4=0,"",(L4-K4)/K4))),"",MAX(IF(J4=0,"",(K4-J4)/J4),IF(K4=0,"",(L4-K4)/K4)))</f>
        <v>1.3084771068347711E-2</v>
      </c>
      <c r="M23" s="22">
        <f>MAX(K23:L23)</f>
        <v>0.164482285456371</v>
      </c>
      <c r="N23" s="22">
        <f>MIN(H23:L23)</f>
        <v>1.3084771068347711E-2</v>
      </c>
    </row>
    <row r="24" spans="1:14" x14ac:dyDescent="0.3">
      <c r="G24" s="6" t="s">
        <v>18</v>
      </c>
      <c r="H24" s="7">
        <f>IF(SUM(B4:$K$4)=0,"",SUMPRODUCT(B19:$K$19,B4:$K$4)/SUM(B4:$K$4))</f>
        <v>0.1093583907752373</v>
      </c>
      <c r="I24" s="7">
        <f>IF(SUM(E4:$K$4)=0,"",SUMPRODUCT(E19:$K$19,E4:$K$4)/SUM(E4:$K$4))</f>
        <v>0.10580780606112929</v>
      </c>
      <c r="J24" s="7">
        <f>IF(SUM(G4:$K$4)=0,"",SUMPRODUCT(G19:$K$19,G4:$K$4)/SUM(G4:$K$4))</f>
        <v>0.11548731510047498</v>
      </c>
      <c r="K24" s="7">
        <f>IF(SUM(I4:$K$4)=0, "", SUMPRODUCT(I19:$K$19,I4:$K$4)/SUM(I4:$K$4))</f>
        <v>0.11876561154908778</v>
      </c>
      <c r="L24" s="7">
        <f>L19</f>
        <v>0.12949237900495689</v>
      </c>
      <c r="M24" s="22">
        <f>MAX(K24:L24)</f>
        <v>0.12949237900495689</v>
      </c>
      <c r="N24" s="22">
        <f>MIN(H24:L24)</f>
        <v>0.10580780606112929</v>
      </c>
    </row>
    <row r="25" spans="1:14" x14ac:dyDescent="0.3">
      <c r="G25" s="6" t="s">
        <v>23</v>
      </c>
      <c r="H25" s="9">
        <f>IF(ISERROR(AVERAGEIF(B14:$L14,"&gt;0")),"",AVERAGEIF(B14:$L14,"&gt;0"))</f>
        <v>18.089394754219892</v>
      </c>
      <c r="I25" s="9">
        <f>IF(ISERROR(AVERAGEIF(E14:$L14,"&gt;0")),"",AVERAGEIF(E14:$L14,"&gt;0"))</f>
        <v>22.110949075771739</v>
      </c>
      <c r="J25" s="9">
        <f>IF(ISERROR(AVERAGEIF(G14:$L14,"&gt;0")),"",AVERAGEIF(G14:$L14,"&gt;0"))</f>
        <v>22.110949075771739</v>
      </c>
      <c r="K25" s="9">
        <f>IF(ISERROR(AVERAGEIF(I14:$L14,"&gt;0")),"",AVERAGEIF(I14:$L14,"&gt;0"))</f>
        <v>22.110949075771739</v>
      </c>
      <c r="L25" s="9">
        <f>L14</f>
        <v>11.124363835856924</v>
      </c>
      <c r="M25" s="1">
        <f>MAX(K25:L25)</f>
        <v>22.110949075771739</v>
      </c>
      <c r="N25" s="1">
        <f>MIN(H25:L25)</f>
        <v>11.124363835856924</v>
      </c>
    </row>
  </sheetData>
  <hyperlinks>
    <hyperlink ref="M1" r:id="rId1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2">
      <c r="A1" s="8" t="str">
        <f>'Profit &amp; Loss'!A1</f>
        <v>TATA MOTORS LTD</v>
      </c>
      <c r="E1" t="str">
        <f>UPDATE</f>
        <v/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  <v>44926</v>
      </c>
      <c r="C3" s="16">
        <f>'Data Sheet'!C41</f>
        <v>45016</v>
      </c>
      <c r="D3" s="16">
        <f>'Data Sheet'!D41</f>
        <v>45107</v>
      </c>
      <c r="E3" s="16">
        <f>'Data Sheet'!E41</f>
        <v>45199</v>
      </c>
      <c r="F3" s="16">
        <f>'Data Sheet'!F41</f>
        <v>45291</v>
      </c>
      <c r="G3" s="16">
        <f>'Data Sheet'!G41</f>
        <v>45382</v>
      </c>
      <c r="H3" s="16">
        <f>'Data Sheet'!H41</f>
        <v>45473</v>
      </c>
      <c r="I3" s="16">
        <f>'Data Sheet'!I41</f>
        <v>45565</v>
      </c>
      <c r="J3" s="16">
        <f>'Data Sheet'!J41</f>
        <v>45657</v>
      </c>
      <c r="K3" s="16">
        <f>'Data Sheet'!K41</f>
        <v>45747</v>
      </c>
    </row>
    <row r="4" spans="1:11" s="8" customFormat="1" x14ac:dyDescent="0.2">
      <c r="A4" s="8" t="s">
        <v>6</v>
      </c>
      <c r="B4" s="1">
        <f>'Data Sheet'!B42</f>
        <v>88488.59</v>
      </c>
      <c r="C4" s="1">
        <f>'Data Sheet'!C42</f>
        <v>105932.35</v>
      </c>
      <c r="D4" s="1">
        <f>'Data Sheet'!D42</f>
        <v>102236</v>
      </c>
      <c r="E4" s="1">
        <f>'Data Sheet'!E42</f>
        <v>105129</v>
      </c>
      <c r="F4" s="1">
        <f>'Data Sheet'!F42</f>
        <v>110577</v>
      </c>
      <c r="G4" s="1">
        <f>'Data Sheet'!G42</f>
        <v>119033</v>
      </c>
      <c r="H4" s="1">
        <f>'Data Sheet'!H42</f>
        <v>108048</v>
      </c>
      <c r="I4" s="1">
        <f>'Data Sheet'!I42</f>
        <v>101450</v>
      </c>
      <c r="J4" s="1">
        <f>'Data Sheet'!J42</f>
        <v>112608</v>
      </c>
      <c r="K4" s="1">
        <f>'Data Sheet'!K42</f>
        <v>119503</v>
      </c>
    </row>
    <row r="5" spans="1:11" x14ac:dyDescent="0.2">
      <c r="A5" s="6" t="s">
        <v>7</v>
      </c>
      <c r="B5" s="9">
        <f>'Data Sheet'!B43</f>
        <v>77668.350000000006</v>
      </c>
      <c r="C5" s="9">
        <f>'Data Sheet'!C43</f>
        <v>92817.95</v>
      </c>
      <c r="D5" s="9">
        <f>'Data Sheet'!D43</f>
        <v>89019</v>
      </c>
      <c r="E5" s="9">
        <f>'Data Sheet'!E43</f>
        <v>91362</v>
      </c>
      <c r="F5" s="9">
        <f>'Data Sheet'!F43</f>
        <v>95159</v>
      </c>
      <c r="G5" s="9">
        <f>'Data Sheet'!G43</f>
        <v>102348</v>
      </c>
      <c r="H5" s="9">
        <f>'Data Sheet'!H43</f>
        <v>92263</v>
      </c>
      <c r="I5" s="9">
        <f>'Data Sheet'!I43</f>
        <v>89291</v>
      </c>
      <c r="J5" s="9">
        <f>'Data Sheet'!J43</f>
        <v>100185</v>
      </c>
      <c r="K5" s="9">
        <f>'Data Sheet'!K43</f>
        <v>102685</v>
      </c>
    </row>
    <row r="6" spans="1:11" s="8" customFormat="1" x14ac:dyDescent="0.2">
      <c r="A6" s="8" t="s">
        <v>8</v>
      </c>
      <c r="B6" s="1">
        <f>'Data Sheet'!B50</f>
        <v>10820.24</v>
      </c>
      <c r="C6" s="1">
        <f>'Data Sheet'!C50</f>
        <v>13114.4</v>
      </c>
      <c r="D6" s="1">
        <f>'Data Sheet'!D50</f>
        <v>13217</v>
      </c>
      <c r="E6" s="1">
        <f>'Data Sheet'!E50</f>
        <v>13767</v>
      </c>
      <c r="F6" s="1">
        <f>'Data Sheet'!F50</f>
        <v>15418</v>
      </c>
      <c r="G6" s="1">
        <f>'Data Sheet'!G50</f>
        <v>16685</v>
      </c>
      <c r="H6" s="1">
        <f>'Data Sheet'!H50</f>
        <v>15785</v>
      </c>
      <c r="I6" s="1">
        <f>'Data Sheet'!I50</f>
        <v>12159</v>
      </c>
      <c r="J6" s="1">
        <f>'Data Sheet'!J50</f>
        <v>12423</v>
      </c>
      <c r="K6" s="1">
        <f>'Data Sheet'!K50</f>
        <v>16818</v>
      </c>
    </row>
    <row r="7" spans="1:11" x14ac:dyDescent="0.2">
      <c r="A7" s="6" t="s">
        <v>9</v>
      </c>
      <c r="B7" s="9">
        <f>'Data Sheet'!B44</f>
        <v>1129.98</v>
      </c>
      <c r="C7" s="9">
        <f>'Data Sheet'!C44</f>
        <v>1452.86</v>
      </c>
      <c r="D7" s="9">
        <f>'Data Sheet'!D44</f>
        <v>895</v>
      </c>
      <c r="E7" s="9">
        <f>'Data Sheet'!E44</f>
        <v>1557</v>
      </c>
      <c r="F7" s="9">
        <f>'Data Sheet'!F44</f>
        <v>1604</v>
      </c>
      <c r="G7" s="9">
        <f>'Data Sheet'!G44</f>
        <v>1412</v>
      </c>
      <c r="H7" s="9">
        <f>'Data Sheet'!H44</f>
        <v>1747</v>
      </c>
      <c r="I7" s="9">
        <f>'Data Sheet'!I44</f>
        <v>1647</v>
      </c>
      <c r="J7" s="9">
        <f>'Data Sheet'!J44</f>
        <v>1700</v>
      </c>
      <c r="K7" s="9">
        <f>'Data Sheet'!K44</f>
        <v>1057</v>
      </c>
    </row>
    <row r="8" spans="1:11" x14ac:dyDescent="0.2">
      <c r="A8" s="6" t="s">
        <v>10</v>
      </c>
      <c r="B8" s="9">
        <f>'Data Sheet'!B45</f>
        <v>6071.78</v>
      </c>
      <c r="C8" s="9">
        <f>'Data Sheet'!C45</f>
        <v>7050.2</v>
      </c>
      <c r="D8" s="9">
        <f>'Data Sheet'!D45</f>
        <v>6633</v>
      </c>
      <c r="E8" s="9">
        <f>'Data Sheet'!E45</f>
        <v>6637</v>
      </c>
      <c r="F8" s="9">
        <f>'Data Sheet'!F45</f>
        <v>6850</v>
      </c>
      <c r="G8" s="9">
        <f>'Data Sheet'!G45</f>
        <v>7143</v>
      </c>
      <c r="H8" s="9">
        <f>'Data Sheet'!H45</f>
        <v>6574</v>
      </c>
      <c r="I8" s="9">
        <f>'Data Sheet'!I45</f>
        <v>6005</v>
      </c>
      <c r="J8" s="9">
        <f>'Data Sheet'!J45</f>
        <v>5399</v>
      </c>
      <c r="K8" s="9">
        <f>'Data Sheet'!K45</f>
        <v>5295</v>
      </c>
    </row>
    <row r="9" spans="1:11" x14ac:dyDescent="0.2">
      <c r="A9" s="6" t="s">
        <v>11</v>
      </c>
      <c r="B9" s="9">
        <f>'Data Sheet'!B46</f>
        <v>2675.83</v>
      </c>
      <c r="C9" s="9">
        <f>'Data Sheet'!C46</f>
        <v>2641.67</v>
      </c>
      <c r="D9" s="9">
        <f>'Data Sheet'!D46</f>
        <v>2615</v>
      </c>
      <c r="E9" s="9">
        <f>'Data Sheet'!E46</f>
        <v>2652</v>
      </c>
      <c r="F9" s="9">
        <f>'Data Sheet'!F46</f>
        <v>2485</v>
      </c>
      <c r="G9" s="9">
        <f>'Data Sheet'!G46</f>
        <v>1645</v>
      </c>
      <c r="H9" s="9">
        <f>'Data Sheet'!H46</f>
        <v>2088</v>
      </c>
      <c r="I9" s="9">
        <f>'Data Sheet'!I46</f>
        <v>2034</v>
      </c>
      <c r="J9" s="9">
        <f>'Data Sheet'!J46</f>
        <v>1119</v>
      </c>
      <c r="K9" s="9">
        <f>'Data Sheet'!K46</f>
        <v>1076</v>
      </c>
    </row>
    <row r="10" spans="1:11" x14ac:dyDescent="0.2">
      <c r="A10" s="6" t="s">
        <v>12</v>
      </c>
      <c r="B10" s="9">
        <f>'Data Sheet'!B47</f>
        <v>3202.61</v>
      </c>
      <c r="C10" s="9">
        <f>'Data Sheet'!C47</f>
        <v>4875.3900000000003</v>
      </c>
      <c r="D10" s="9">
        <f>'Data Sheet'!D47</f>
        <v>4864</v>
      </c>
      <c r="E10" s="9">
        <f>'Data Sheet'!E47</f>
        <v>6035</v>
      </c>
      <c r="F10" s="9">
        <f>'Data Sheet'!F47</f>
        <v>7687</v>
      </c>
      <c r="G10" s="9">
        <f>'Data Sheet'!G47</f>
        <v>9309</v>
      </c>
      <c r="H10" s="9">
        <f>'Data Sheet'!H47</f>
        <v>8870</v>
      </c>
      <c r="I10" s="9">
        <f>'Data Sheet'!I47</f>
        <v>5767</v>
      </c>
      <c r="J10" s="9">
        <f>'Data Sheet'!J47</f>
        <v>7605</v>
      </c>
      <c r="K10" s="9">
        <f>'Data Sheet'!K47</f>
        <v>11504</v>
      </c>
    </row>
    <row r="11" spans="1:11" x14ac:dyDescent="0.2">
      <c r="A11" s="6" t="s">
        <v>13</v>
      </c>
      <c r="B11" s="9">
        <f>'Data Sheet'!B48</f>
        <v>262.83</v>
      </c>
      <c r="C11" s="9">
        <f>'Data Sheet'!C48</f>
        <v>-620.65</v>
      </c>
      <c r="D11" s="9">
        <f>'Data Sheet'!D48</f>
        <v>1563</v>
      </c>
      <c r="E11" s="9">
        <f>'Data Sheet'!E48</f>
        <v>2203</v>
      </c>
      <c r="F11" s="9">
        <f>'Data Sheet'!F48</f>
        <v>542</v>
      </c>
      <c r="G11" s="9">
        <f>'Data Sheet'!G48</f>
        <v>-8219</v>
      </c>
      <c r="H11" s="9">
        <f>'Data Sheet'!H48</f>
        <v>3178</v>
      </c>
      <c r="I11" s="9">
        <f>'Data Sheet'!I48</f>
        <v>2317</v>
      </c>
      <c r="J11" s="9">
        <f>'Data Sheet'!J48</f>
        <v>2120</v>
      </c>
      <c r="K11" s="9">
        <f>'Data Sheet'!K48</f>
        <v>2948</v>
      </c>
    </row>
    <row r="12" spans="1:11" s="8" customFormat="1" x14ac:dyDescent="0.2">
      <c r="A12" s="8" t="s">
        <v>14</v>
      </c>
      <c r="B12" s="1">
        <f>'Data Sheet'!B49</f>
        <v>2957.71</v>
      </c>
      <c r="C12" s="1">
        <f>'Data Sheet'!C49</f>
        <v>5407.79</v>
      </c>
      <c r="D12" s="1">
        <f>'Data Sheet'!D49</f>
        <v>3203</v>
      </c>
      <c r="E12" s="1">
        <f>'Data Sheet'!E49</f>
        <v>3764</v>
      </c>
      <c r="F12" s="1">
        <f>'Data Sheet'!F49</f>
        <v>7025</v>
      </c>
      <c r="G12" s="1">
        <f>'Data Sheet'!G49</f>
        <v>17407</v>
      </c>
      <c r="H12" s="1">
        <f>'Data Sheet'!H49</f>
        <v>5566</v>
      </c>
      <c r="I12" s="1">
        <f>'Data Sheet'!I49</f>
        <v>3343</v>
      </c>
      <c r="J12" s="1">
        <f>'Data Sheet'!J49</f>
        <v>5406</v>
      </c>
      <c r="K12" s="1">
        <f>'Data Sheet'!K49</f>
        <v>8470</v>
      </c>
    </row>
    <row r="14" spans="1:11" s="8" customFormat="1" x14ac:dyDescent="0.2">
      <c r="A14" s="2" t="s">
        <v>18</v>
      </c>
      <c r="B14" s="14">
        <f>IF(B4&gt;0,B6/B4,"")</f>
        <v>0.12227836379808968</v>
      </c>
      <c r="C14" s="14">
        <f t="shared" ref="C14:K14" si="0">IF(C4&gt;0,C6/C4,"")</f>
        <v>0.1237997646611257</v>
      </c>
      <c r="D14" s="14">
        <f t="shared" si="0"/>
        <v>0.12927931452717242</v>
      </c>
      <c r="E14" s="14">
        <f t="shared" si="0"/>
        <v>0.1309534001084382</v>
      </c>
      <c r="F14" s="14">
        <f t="shared" si="0"/>
        <v>0.13943225082973856</v>
      </c>
      <c r="G14" s="14">
        <f t="shared" si="0"/>
        <v>0.14017121302495947</v>
      </c>
      <c r="H14" s="14">
        <f t="shared" si="0"/>
        <v>0.14609247741744411</v>
      </c>
      <c r="I14" s="14">
        <f t="shared" si="0"/>
        <v>0.11985214391325777</v>
      </c>
      <c r="J14" s="14">
        <f t="shared" si="0"/>
        <v>0.11032075873827792</v>
      </c>
      <c r="K14" s="14">
        <f t="shared" si="0"/>
        <v>0.14073286863091303</v>
      </c>
    </row>
    <row r="22" s="30" customFormat="1" x14ac:dyDescent="0.3"/>
  </sheetData>
  <hyperlinks>
    <hyperlink ref="J1" r:id="rId1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2">
      <c r="A1" s="8" t="str">
        <f>'Profit &amp; Loss'!A1</f>
        <v>TATA MOTORS LTD</v>
      </c>
      <c r="E1" t="str">
        <f>UPDATE</f>
        <v/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  <v>42460</v>
      </c>
      <c r="C3" s="16">
        <f>'Data Sheet'!C56</f>
        <v>42825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">
      <c r="A4" s="6" t="s">
        <v>24</v>
      </c>
      <c r="B4" s="19">
        <f>'Data Sheet'!B57</f>
        <v>679.18</v>
      </c>
      <c r="C4" s="19">
        <f>'Data Sheet'!C57</f>
        <v>679.22</v>
      </c>
      <c r="D4" s="19">
        <f>'Data Sheet'!D57</f>
        <v>679.22</v>
      </c>
      <c r="E4" s="19">
        <f>'Data Sheet'!E57</f>
        <v>679.22</v>
      </c>
      <c r="F4" s="19">
        <f>'Data Sheet'!F57</f>
        <v>719.54</v>
      </c>
      <c r="G4" s="19">
        <f>'Data Sheet'!G57</f>
        <v>765.81</v>
      </c>
      <c r="H4" s="19">
        <f>'Data Sheet'!H57</f>
        <v>765.88</v>
      </c>
      <c r="I4" s="19">
        <f>'Data Sheet'!I57</f>
        <v>766.02</v>
      </c>
      <c r="J4" s="19">
        <f>'Data Sheet'!J57</f>
        <v>767</v>
      </c>
      <c r="K4" s="19">
        <f>'Data Sheet'!K57</f>
        <v>736</v>
      </c>
    </row>
    <row r="5" spans="1:11" s="6" customFormat="1" x14ac:dyDescent="0.2">
      <c r="A5" s="6" t="s">
        <v>25</v>
      </c>
      <c r="B5" s="19">
        <f>'Data Sheet'!B58</f>
        <v>78273.23</v>
      </c>
      <c r="C5" s="19">
        <f>'Data Sheet'!C58</f>
        <v>57382.67</v>
      </c>
      <c r="D5" s="19">
        <f>'Data Sheet'!D58</f>
        <v>94748.69</v>
      </c>
      <c r="E5" s="19">
        <f>'Data Sheet'!E58</f>
        <v>59500.34</v>
      </c>
      <c r="F5" s="19">
        <f>'Data Sheet'!F58</f>
        <v>62358.99</v>
      </c>
      <c r="G5" s="19">
        <f>'Data Sheet'!G58</f>
        <v>54480.91</v>
      </c>
      <c r="H5" s="19">
        <f>'Data Sheet'!H58</f>
        <v>43795.360000000001</v>
      </c>
      <c r="I5" s="19">
        <f>'Data Sheet'!I58</f>
        <v>44555.77</v>
      </c>
      <c r="J5" s="19">
        <f>'Data Sheet'!J58</f>
        <v>84151</v>
      </c>
      <c r="K5" s="19">
        <f>'Data Sheet'!K58</f>
        <v>115408</v>
      </c>
    </row>
    <row r="6" spans="1:11" x14ac:dyDescent="0.2">
      <c r="A6" s="11" t="s">
        <v>71</v>
      </c>
      <c r="B6" s="19">
        <f>'Data Sheet'!B59</f>
        <v>69359.960000000006</v>
      </c>
      <c r="C6" s="19">
        <f>'Data Sheet'!C59</f>
        <v>78603.98</v>
      </c>
      <c r="D6" s="19">
        <f>'Data Sheet'!D59</f>
        <v>88950.47</v>
      </c>
      <c r="E6" s="19">
        <f>'Data Sheet'!E59</f>
        <v>106175.34</v>
      </c>
      <c r="F6" s="19">
        <f>'Data Sheet'!F59</f>
        <v>124787.64</v>
      </c>
      <c r="G6" s="19">
        <f>'Data Sheet'!G59</f>
        <v>142130.57</v>
      </c>
      <c r="H6" s="19">
        <f>'Data Sheet'!H59</f>
        <v>146449.03</v>
      </c>
      <c r="I6" s="19">
        <f>'Data Sheet'!I59</f>
        <v>134113.44</v>
      </c>
      <c r="J6" s="19">
        <f>'Data Sheet'!J59</f>
        <v>107264</v>
      </c>
      <c r="K6" s="19">
        <f>'Data Sheet'!K59</f>
        <v>71540</v>
      </c>
    </row>
    <row r="7" spans="1:11" s="6" customFormat="1" x14ac:dyDescent="0.2">
      <c r="A7" s="11" t="s">
        <v>72</v>
      </c>
      <c r="B7" s="19">
        <f>'Data Sheet'!B60</f>
        <v>114871.75</v>
      </c>
      <c r="C7" s="19">
        <f>'Data Sheet'!C60</f>
        <v>135914.49</v>
      </c>
      <c r="D7" s="19">
        <f>'Data Sheet'!D60</f>
        <v>142813.43</v>
      </c>
      <c r="E7" s="19">
        <f>'Data Sheet'!E60</f>
        <v>139348.59</v>
      </c>
      <c r="F7" s="19">
        <f>'Data Sheet'!F60</f>
        <v>132313.22</v>
      </c>
      <c r="G7" s="19">
        <f>'Data Sheet'!G60</f>
        <v>144192.62</v>
      </c>
      <c r="H7" s="19">
        <f>'Data Sheet'!H60</f>
        <v>138051.22</v>
      </c>
      <c r="I7" s="19">
        <f>'Data Sheet'!I60</f>
        <v>155239.20000000001</v>
      </c>
      <c r="J7" s="19">
        <f>'Data Sheet'!J60</f>
        <v>177339</v>
      </c>
      <c r="K7" s="19">
        <f>'Data Sheet'!K60</f>
        <v>189289</v>
      </c>
    </row>
    <row r="8" spans="1:11" s="8" customFormat="1" x14ac:dyDescent="0.2">
      <c r="A8" s="8" t="s">
        <v>26</v>
      </c>
      <c r="B8" s="20">
        <f>'Data Sheet'!B61</f>
        <v>263184.12</v>
      </c>
      <c r="C8" s="20">
        <f>'Data Sheet'!C61</f>
        <v>272580.36</v>
      </c>
      <c r="D8" s="20">
        <f>'Data Sheet'!D61</f>
        <v>327191.81</v>
      </c>
      <c r="E8" s="20">
        <f>'Data Sheet'!E61</f>
        <v>305703.49</v>
      </c>
      <c r="F8" s="20">
        <f>'Data Sheet'!F61</f>
        <v>320179.39</v>
      </c>
      <c r="G8" s="20">
        <f>'Data Sheet'!G61</f>
        <v>341569.91</v>
      </c>
      <c r="H8" s="20">
        <f>'Data Sheet'!H61</f>
        <v>329061.49</v>
      </c>
      <c r="I8" s="20">
        <f>'Data Sheet'!I61</f>
        <v>334674.43</v>
      </c>
      <c r="J8" s="20">
        <f>'Data Sheet'!J61</f>
        <v>369521</v>
      </c>
      <c r="K8" s="20">
        <f>'Data Sheet'!K61</f>
        <v>376973</v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  <v>107231.76</v>
      </c>
      <c r="C10" s="19">
        <f>'Data Sheet'!C62</f>
        <v>95944.08</v>
      </c>
      <c r="D10" s="19">
        <f>'Data Sheet'!D62</f>
        <v>121413.86</v>
      </c>
      <c r="E10" s="19">
        <f>'Data Sheet'!E62</f>
        <v>111234.47</v>
      </c>
      <c r="F10" s="19">
        <f>'Data Sheet'!F62</f>
        <v>127107.14</v>
      </c>
      <c r="G10" s="19">
        <f>'Data Sheet'!G62</f>
        <v>138707.60999999999</v>
      </c>
      <c r="H10" s="19">
        <f>'Data Sheet'!H62</f>
        <v>138855.45000000001</v>
      </c>
      <c r="I10" s="19">
        <f>'Data Sheet'!I62</f>
        <v>132079.76</v>
      </c>
      <c r="J10" s="19">
        <f>'Data Sheet'!J62</f>
        <v>121285</v>
      </c>
      <c r="K10" s="19">
        <f>'Data Sheet'!K62</f>
        <v>115697</v>
      </c>
    </row>
    <row r="11" spans="1:11" x14ac:dyDescent="0.2">
      <c r="A11" s="6" t="s">
        <v>28</v>
      </c>
      <c r="B11" s="19">
        <f>'Data Sheet'!B63</f>
        <v>25918.94</v>
      </c>
      <c r="C11" s="19">
        <f>'Data Sheet'!C63</f>
        <v>33698.839999999997</v>
      </c>
      <c r="D11" s="19">
        <f>'Data Sheet'!D63</f>
        <v>40033.5</v>
      </c>
      <c r="E11" s="19">
        <f>'Data Sheet'!E63</f>
        <v>31883.84</v>
      </c>
      <c r="F11" s="19">
        <f>'Data Sheet'!F63</f>
        <v>35622.29</v>
      </c>
      <c r="G11" s="19">
        <f>'Data Sheet'!G63</f>
        <v>20963.93</v>
      </c>
      <c r="H11" s="19">
        <f>'Data Sheet'!H63</f>
        <v>10251.09</v>
      </c>
      <c r="I11" s="19">
        <f>'Data Sheet'!I63</f>
        <v>14274.5</v>
      </c>
      <c r="J11" s="19">
        <f>'Data Sheet'!J63</f>
        <v>35698</v>
      </c>
      <c r="K11" s="19">
        <f>'Data Sheet'!K63</f>
        <v>65806</v>
      </c>
    </row>
    <row r="12" spans="1:11" x14ac:dyDescent="0.2">
      <c r="A12" s="6" t="s">
        <v>29</v>
      </c>
      <c r="B12" s="19">
        <f>'Data Sheet'!B64</f>
        <v>23767.02</v>
      </c>
      <c r="C12" s="19">
        <f>'Data Sheet'!C64</f>
        <v>20337.919999999998</v>
      </c>
      <c r="D12" s="19">
        <f>'Data Sheet'!D64</f>
        <v>20812.75</v>
      </c>
      <c r="E12" s="19">
        <f>'Data Sheet'!E64</f>
        <v>15770.72</v>
      </c>
      <c r="F12" s="19">
        <f>'Data Sheet'!F64</f>
        <v>16308.48</v>
      </c>
      <c r="G12" s="19">
        <f>'Data Sheet'!G64</f>
        <v>24620.28</v>
      </c>
      <c r="H12" s="19">
        <f>'Data Sheet'!H64</f>
        <v>29379.53</v>
      </c>
      <c r="I12" s="19">
        <f>'Data Sheet'!I64</f>
        <v>26379.16</v>
      </c>
      <c r="J12" s="19">
        <f>'Data Sheet'!J64</f>
        <v>22971</v>
      </c>
      <c r="K12" s="19">
        <f>'Data Sheet'!K64</f>
        <v>35656</v>
      </c>
    </row>
    <row r="13" spans="1:11" x14ac:dyDescent="0.2">
      <c r="A13" s="11" t="s">
        <v>73</v>
      </c>
      <c r="B13" s="19">
        <f>'Data Sheet'!B65</f>
        <v>106266.4</v>
      </c>
      <c r="C13" s="19">
        <f>'Data Sheet'!C65</f>
        <v>122599.52</v>
      </c>
      <c r="D13" s="19">
        <f>'Data Sheet'!D65</f>
        <v>144931.70000000001</v>
      </c>
      <c r="E13" s="19">
        <f>'Data Sheet'!E65</f>
        <v>146814.46</v>
      </c>
      <c r="F13" s="19">
        <f>'Data Sheet'!F65</f>
        <v>141141.48000000001</v>
      </c>
      <c r="G13" s="19">
        <f>'Data Sheet'!G65</f>
        <v>157278.09</v>
      </c>
      <c r="H13" s="19">
        <f>'Data Sheet'!H65</f>
        <v>150575.42000000001</v>
      </c>
      <c r="I13" s="19">
        <f>'Data Sheet'!I65</f>
        <v>161941.01</v>
      </c>
      <c r="J13" s="19">
        <f>'Data Sheet'!J65</f>
        <v>189567</v>
      </c>
      <c r="K13" s="19">
        <f>'Data Sheet'!K65</f>
        <v>159814</v>
      </c>
    </row>
    <row r="14" spans="1:11" s="8" customFormat="1" x14ac:dyDescent="0.2">
      <c r="A14" s="8" t="s">
        <v>26</v>
      </c>
      <c r="B14" s="19">
        <f>'Data Sheet'!B66</f>
        <v>263184.12</v>
      </c>
      <c r="C14" s="19">
        <f>'Data Sheet'!C66</f>
        <v>272580.36</v>
      </c>
      <c r="D14" s="19">
        <f>'Data Sheet'!D66</f>
        <v>327191.81</v>
      </c>
      <c r="E14" s="19">
        <f>'Data Sheet'!E66</f>
        <v>305703.49</v>
      </c>
      <c r="F14" s="19">
        <f>'Data Sheet'!F66</f>
        <v>320179.39</v>
      </c>
      <c r="G14" s="19">
        <f>'Data Sheet'!G66</f>
        <v>341569.91</v>
      </c>
      <c r="H14" s="19">
        <f>'Data Sheet'!H66</f>
        <v>329061.49</v>
      </c>
      <c r="I14" s="19">
        <f>'Data Sheet'!I66</f>
        <v>334674.43</v>
      </c>
      <c r="J14" s="19">
        <f>'Data Sheet'!J66</f>
        <v>369521</v>
      </c>
      <c r="K14" s="19">
        <f>'Data Sheet'!K66</f>
        <v>376973</v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  <v>-8605.3500000000058</v>
      </c>
      <c r="C16" s="21">
        <f t="shared" ref="C16:K16" si="0">C13-C7</f>
        <v>-13314.969999999987</v>
      </c>
      <c r="D16" s="21">
        <f t="shared" si="0"/>
        <v>2118.2700000000186</v>
      </c>
      <c r="E16" s="21">
        <f t="shared" si="0"/>
        <v>7465.8699999999953</v>
      </c>
      <c r="F16" s="21">
        <f t="shared" si="0"/>
        <v>8828.2600000000093</v>
      </c>
      <c r="G16" s="21">
        <f t="shared" si="0"/>
        <v>13085.470000000001</v>
      </c>
      <c r="H16" s="21">
        <f t="shared" si="0"/>
        <v>12524.200000000012</v>
      </c>
      <c r="I16" s="21">
        <f t="shared" si="0"/>
        <v>6701.8099999999977</v>
      </c>
      <c r="J16" s="21">
        <f t="shared" si="0"/>
        <v>12228</v>
      </c>
      <c r="K16" s="21">
        <f t="shared" si="0"/>
        <v>-29475</v>
      </c>
    </row>
    <row r="17" spans="1:11" x14ac:dyDescent="0.2">
      <c r="A17" s="11" t="s">
        <v>44</v>
      </c>
      <c r="B17" s="21">
        <f>'Data Sheet'!B67</f>
        <v>13570.91</v>
      </c>
      <c r="C17" s="21">
        <f>'Data Sheet'!C67</f>
        <v>14075.55</v>
      </c>
      <c r="D17" s="21">
        <f>'Data Sheet'!D67</f>
        <v>19893.3</v>
      </c>
      <c r="E17" s="21">
        <f>'Data Sheet'!E67</f>
        <v>18996.169999999998</v>
      </c>
      <c r="F17" s="21">
        <f>'Data Sheet'!F67</f>
        <v>11172.69</v>
      </c>
      <c r="G17" s="21">
        <f>'Data Sheet'!G67</f>
        <v>12679.08</v>
      </c>
      <c r="H17" s="21">
        <f>'Data Sheet'!H67</f>
        <v>12442.12</v>
      </c>
      <c r="I17" s="21">
        <f>'Data Sheet'!I67</f>
        <v>15737.97</v>
      </c>
      <c r="J17" s="21">
        <f>'Data Sheet'!J67</f>
        <v>16952</v>
      </c>
      <c r="K17" s="21">
        <f>'Data Sheet'!K67</f>
        <v>13248</v>
      </c>
    </row>
    <row r="18" spans="1:11" x14ac:dyDescent="0.2">
      <c r="A18" s="11" t="s">
        <v>45</v>
      </c>
      <c r="B18" s="21">
        <f>'Data Sheet'!B68</f>
        <v>32655.73</v>
      </c>
      <c r="C18" s="21">
        <f>'Data Sheet'!C68</f>
        <v>35085.31</v>
      </c>
      <c r="D18" s="21">
        <f>'Data Sheet'!D68</f>
        <v>42137.63</v>
      </c>
      <c r="E18" s="21">
        <f>'Data Sheet'!E68</f>
        <v>39013.730000000003</v>
      </c>
      <c r="F18" s="21">
        <f>'Data Sheet'!F68</f>
        <v>37456.879999999997</v>
      </c>
      <c r="G18" s="21">
        <f>'Data Sheet'!G68</f>
        <v>36088.589999999997</v>
      </c>
      <c r="H18" s="21">
        <f>'Data Sheet'!H68</f>
        <v>35240.339999999997</v>
      </c>
      <c r="I18" s="21">
        <f>'Data Sheet'!I68</f>
        <v>40755.39</v>
      </c>
      <c r="J18" s="21">
        <f>'Data Sheet'!J68</f>
        <v>47788</v>
      </c>
      <c r="K18" s="21">
        <f>'Data Sheet'!K68</f>
        <v>47269</v>
      </c>
    </row>
    <row r="20" spans="1:11" x14ac:dyDescent="0.2">
      <c r="A20" s="11" t="s">
        <v>46</v>
      </c>
      <c r="B20" s="5">
        <f>IF('Profit &amp; Loss'!B4&gt;0,'Balance Sheet'!B17/('Profit &amp; Loss'!B4/365),0)</f>
        <v>18.141226776772818</v>
      </c>
      <c r="C20" s="5">
        <f>IF('Profit &amp; Loss'!C4&gt;0,'Balance Sheet'!C17/('Profit &amp; Loss'!C4/365),0)</f>
        <v>19.049753180019717</v>
      </c>
      <c r="D20" s="5">
        <f>IF('Profit &amp; Loss'!D4&gt;0,'Balance Sheet'!D17/('Profit &amp; Loss'!D4/365),0)</f>
        <v>24.904964999543132</v>
      </c>
      <c r="E20" s="5">
        <f>IF('Profit &amp; Loss'!E4&gt;0,'Balance Sheet'!E17/('Profit &amp; Loss'!E4/365),0)</f>
        <v>22.963631157878556</v>
      </c>
      <c r="F20" s="5">
        <f>IF('Profit &amp; Loss'!F4&gt;0,'Balance Sheet'!F17/('Profit &amp; Loss'!F4/365),0)</f>
        <v>15.62057517051977</v>
      </c>
      <c r="G20" s="5">
        <f>IF('Profit &amp; Loss'!G4&gt;0,'Balance Sheet'!G17/('Profit &amp; Loss'!G4/365),0)</f>
        <v>18.526667193766084</v>
      </c>
      <c r="H20" s="5">
        <f>IF('Profit &amp; Loss'!H4&gt;0,'Balance Sheet'!H17/('Profit &amp; Loss'!H4/365),0)</f>
        <v>16.309264717046958</v>
      </c>
      <c r="I20" s="5">
        <f>IF('Profit &amp; Loss'!I4&gt;0,'Balance Sheet'!I17/('Profit &amp; Loss'!I4/365),0)</f>
        <v>16.603778823163381</v>
      </c>
      <c r="J20" s="5">
        <f>IF('Profit &amp; Loss'!J4&gt;0,'Balance Sheet'!J17/('Profit &amp; Loss'!J4/365),0)</f>
        <v>14.256340780063409</v>
      </c>
      <c r="K20" s="5">
        <f>IF('Profit &amp; Loss'!K4&gt;0,'Balance Sheet'!K17/('Profit &amp; Loss'!K4/365),0)</f>
        <v>10.9974414082489</v>
      </c>
    </row>
    <row r="21" spans="1:11" x14ac:dyDescent="0.3">
      <c r="A21" s="11" t="s">
        <v>47</v>
      </c>
      <c r="B21" s="5">
        <f>IF('Balance Sheet'!B18&gt;0,'Profit &amp; Loss'!B4/'Balance Sheet'!B18,0)</f>
        <v>8.3613381173839922</v>
      </c>
      <c r="C21" s="5">
        <f>IF('Balance Sheet'!C18&gt;0,'Profit &amp; Loss'!C4/'Balance Sheet'!C18,0)</f>
        <v>7.6867643466738649</v>
      </c>
      <c r="D21" s="5">
        <f>IF('Balance Sheet'!D18&gt;0,'Profit &amp; Loss'!D4/'Balance Sheet'!D18,0)</f>
        <v>6.9190051742350009</v>
      </c>
      <c r="E21" s="5">
        <f>IF('Balance Sheet'!E18&gt;0,'Profit &amp; Loss'!E4/'Balance Sheet'!E18,0)</f>
        <v>7.7392856309817084</v>
      </c>
      <c r="F21" s="5">
        <f>IF('Balance Sheet'!F18&gt;0,'Profit &amp; Loss'!F4/'Balance Sheet'!F18,0)</f>
        <v>6.9698269049637886</v>
      </c>
      <c r="G21" s="5">
        <f>IF('Balance Sheet'!G18&gt;0,'Profit &amp; Loss'!G4/'Balance Sheet'!G18,0)</f>
        <v>6.9217098811563442</v>
      </c>
      <c r="H21" s="5">
        <f>IF('Balance Sheet'!H18&gt;0,'Profit &amp; Loss'!H4/'Balance Sheet'!H18,0)</f>
        <v>7.9015588385356104</v>
      </c>
      <c r="I21" s="5">
        <f>IF('Balance Sheet'!I18&gt;0,'Profit &amp; Loss'!I4/'Balance Sheet'!I18,0)</f>
        <v>8.4888641723217457</v>
      </c>
      <c r="J21" s="5">
        <f>IF('Balance Sheet'!J18&gt;0,'Profit &amp; Loss'!J4/'Balance Sheet'!J18,0)</f>
        <v>9.0821126642671803</v>
      </c>
      <c r="K21" s="5">
        <f>IF('Balance Sheet'!K18&gt;0,'Profit &amp; Loss'!K4/'Balance Sheet'!K18,0)</f>
        <v>9.3019738094734397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0.14666189417143824</v>
      </c>
      <c r="C23" s="14">
        <f>IF(SUM('Balance Sheet'!C4:C5)&gt;0,'Profit &amp; Loss'!C12/SUM('Balance Sheet'!C4:C5),"")</f>
        <v>0.1283864510783235</v>
      </c>
      <c r="D23" s="14">
        <f>IF(SUM('Balance Sheet'!D4:D5)&gt;0,'Profit &amp; Loss'!D12/SUM('Balance Sheet'!D4:D5),"")</f>
        <v>9.4195817554843228E-2</v>
      </c>
      <c r="E23" s="14">
        <f>IF(SUM('Balance Sheet'!E4:E5)&gt;0,'Profit &amp; Loss'!E12/SUM('Balance Sheet'!E4:E5),"")</f>
        <v>-0.47900366835516911</v>
      </c>
      <c r="F23" s="14">
        <f>IF(SUM('Balance Sheet'!F4:F5)&gt;0,'Profit &amp; Loss'!F12/SUM('Balance Sheet'!F4:F5),"")</f>
        <v>-0.19136225907610721</v>
      </c>
      <c r="G23" s="14">
        <f>IF(SUM('Balance Sheet'!G4:G5)&gt;0,'Profit &amp; Loss'!G12/SUM('Balance Sheet'!G4:G5),"")</f>
        <v>-0.24347852687001145</v>
      </c>
      <c r="H23" s="14">
        <f>IF(SUM('Balance Sheet'!H4:H5)&gt;0,'Profit &amp; Loss'!H12/SUM('Balance Sheet'!H4:H5),"")</f>
        <v>-0.25675833975894746</v>
      </c>
      <c r="I23" s="14">
        <f>IF(SUM('Balance Sheet'!I4:I5)&gt;0,'Profit &amp; Loss'!I12/SUM('Balance Sheet'!I4:I5),"")</f>
        <v>5.326996131441411E-2</v>
      </c>
      <c r="J23" s="14">
        <f>IF(SUM('Balance Sheet'!J4:J5)&gt;0,'Profit &amp; Loss'!J12/SUM('Balance Sheet'!J4:J5),"")</f>
        <v>0.36975670646977082</v>
      </c>
      <c r="K23" s="14">
        <f>IF(SUM('Balance Sheet'!K4:K5)&gt;0,'Profit &amp; Loss'!K12/SUM('Balance Sheet'!K4:K5),"")</f>
        <v>0.23961633833861412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9.5114630506525702E-2</v>
      </c>
      <c r="D24" s="14">
        <f>IF((C4+C5+C6+D4+D5+D6)&gt;0,('Profit &amp; Loss'!D10+'Profit &amp; Loss'!D9)*2/(C4+C5+C6+D4+D5+D6),"")</f>
        <v>9.8658175625322669E-2</v>
      </c>
      <c r="E24" s="14">
        <f>IF((D4+D5+D6+E4+E5+E6)&gt;0,('Profit &amp; Loss'!E10+'Profit &amp; Loss'!E9)*2/(D4+D5+D6+E4+E5+E6),"")</f>
        <v>-0.14605143828951733</v>
      </c>
      <c r="F24" s="14">
        <f>IF((E4+E5+E6+F4+F5+F6)&gt;0,('Profit &amp; Loss'!F10+'Profit &amp; Loss'!F9)*2/(E4+E5+E6+F4+F5+F6),"")</f>
        <v>-1.8839364919766063E-2</v>
      </c>
      <c r="G24" s="14">
        <f>IF((F4+F5+F6+G4+G5+G6)&gt;0,('Profit &amp; Loss'!G10+'Profit &amp; Loss'!G9)*2/(F4+F5+F6+G4+G5+G6),"")</f>
        <v>-1.2340819491134259E-2</v>
      </c>
      <c r="H24" s="14">
        <f>IF((G4+G5+G6+H4+H5+H6)&gt;0,('Profit &amp; Loss'!H10+'Profit &amp; Loss'!H9)*2/(G4+G5+G6+H4+H5+H6),"")</f>
        <v>1.1887352931695343E-2</v>
      </c>
      <c r="I24" s="14">
        <f>IF((H4+H5+H6+I4+I5+I6)&gt;0,('Profit &amp; Loss'!I10+'Profit &amp; Loss'!I9)*2/(H4+H5+H6+I4+I5+I6),"")</f>
        <v>7.3529898460097373E-2</v>
      </c>
      <c r="J24" s="14">
        <f>IF((I4+I5+I6+J4+J5+J6)&gt;0,('Profit &amp; Loss'!J10+'Profit &amp; Loss'!J9)*2/(I4+I5+I6+J4+J5+J6),"")</f>
        <v>0.19039483180045233</v>
      </c>
      <c r="K24" s="14">
        <f>IF((J4+J5+J6+K4+K5+K6)&gt;0,('Profit &amp; Loss'!K10+'Profit &amp; Loss'!K9)*2/(J4+J5+J6+K4+K5+K6),"")</f>
        <v>0.23026014436669773</v>
      </c>
    </row>
    <row r="25" spans="1:11" s="18" customFormat="1" x14ac:dyDescent="0.3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4"/>
  <sheetViews>
    <sheetView zoomScaleNormal="10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2">
      <c r="A1" s="8" t="str">
        <f>'Balance Sheet'!A1</f>
        <v>TATA MOTORS LTD</v>
      </c>
      <c r="E1" t="str">
        <f>UPDATE</f>
        <v/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  <v>42460</v>
      </c>
      <c r="C3" s="16">
        <f>'Data Sheet'!C81</f>
        <v>42825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">
      <c r="A4" s="8" t="s">
        <v>32</v>
      </c>
      <c r="B4" s="1">
        <f>'Data Sheet'!B82</f>
        <v>37899.54</v>
      </c>
      <c r="C4" s="1">
        <f>'Data Sheet'!C82</f>
        <v>30199.25</v>
      </c>
      <c r="D4" s="1">
        <f>'Data Sheet'!D82</f>
        <v>23857.42</v>
      </c>
      <c r="E4" s="1">
        <f>'Data Sheet'!E82</f>
        <v>18890.75</v>
      </c>
      <c r="F4" s="1">
        <f>'Data Sheet'!F82</f>
        <v>26632.94</v>
      </c>
      <c r="G4" s="1">
        <f>'Data Sheet'!G82</f>
        <v>29000.51</v>
      </c>
      <c r="H4" s="1">
        <f>'Data Sheet'!H82</f>
        <v>14282.83</v>
      </c>
      <c r="I4" s="1">
        <f>'Data Sheet'!I82</f>
        <v>35388.01</v>
      </c>
      <c r="J4" s="1">
        <f>'Data Sheet'!J82</f>
        <v>67915</v>
      </c>
      <c r="K4" s="1">
        <f>'Data Sheet'!K82</f>
        <v>63102</v>
      </c>
    </row>
    <row r="5" spans="1:11" x14ac:dyDescent="0.2">
      <c r="A5" s="6" t="s">
        <v>33</v>
      </c>
      <c r="B5" s="9">
        <f>'Data Sheet'!B83</f>
        <v>-36693.9</v>
      </c>
      <c r="C5" s="9">
        <f>'Data Sheet'!C83</f>
        <v>-39571.4</v>
      </c>
      <c r="D5" s="9">
        <f>'Data Sheet'!D83</f>
        <v>-25139.14</v>
      </c>
      <c r="E5" s="9">
        <f>'Data Sheet'!E83</f>
        <v>-20878.07</v>
      </c>
      <c r="F5" s="9">
        <f>'Data Sheet'!F83</f>
        <v>-33114.550000000003</v>
      </c>
      <c r="G5" s="9">
        <f>'Data Sheet'!G83</f>
        <v>-25672.5</v>
      </c>
      <c r="H5" s="9">
        <f>'Data Sheet'!H83</f>
        <v>-4443.66</v>
      </c>
      <c r="I5" s="9">
        <f>'Data Sheet'!I83</f>
        <v>-15417.17</v>
      </c>
      <c r="J5" s="9">
        <f>'Data Sheet'!J83</f>
        <v>-22781</v>
      </c>
      <c r="K5" s="9">
        <f>'Data Sheet'!K83</f>
        <v>-49982</v>
      </c>
    </row>
    <row r="6" spans="1:11" x14ac:dyDescent="0.2">
      <c r="A6" s="6" t="s">
        <v>34</v>
      </c>
      <c r="B6" s="9">
        <f>'Data Sheet'!B84</f>
        <v>-3795.12</v>
      </c>
      <c r="C6" s="9">
        <f>'Data Sheet'!C84</f>
        <v>6205.3</v>
      </c>
      <c r="D6" s="9">
        <f>'Data Sheet'!D84</f>
        <v>2011.71</v>
      </c>
      <c r="E6" s="9">
        <f>'Data Sheet'!E84</f>
        <v>8830.3700000000008</v>
      </c>
      <c r="F6" s="9">
        <f>'Data Sheet'!F84</f>
        <v>3389.61</v>
      </c>
      <c r="G6" s="9">
        <f>'Data Sheet'!G84</f>
        <v>9904.2000000000007</v>
      </c>
      <c r="H6" s="9">
        <f>'Data Sheet'!H84</f>
        <v>-3380.17</v>
      </c>
      <c r="I6" s="9">
        <f>'Data Sheet'!I84</f>
        <v>-26242.9</v>
      </c>
      <c r="J6" s="9">
        <f>'Data Sheet'!J84</f>
        <v>-37006</v>
      </c>
      <c r="K6" s="9">
        <f>'Data Sheet'!K84</f>
        <v>-18786</v>
      </c>
    </row>
    <row r="7" spans="1:11" s="8" customFormat="1" x14ac:dyDescent="0.2">
      <c r="A7" s="8" t="s">
        <v>35</v>
      </c>
      <c r="B7" s="1">
        <f>'Data Sheet'!B85</f>
        <v>-2589.48</v>
      </c>
      <c r="C7" s="1">
        <f>'Data Sheet'!C85</f>
        <v>-3166.85</v>
      </c>
      <c r="D7" s="1">
        <f>'Data Sheet'!D85</f>
        <v>729.99</v>
      </c>
      <c r="E7" s="1">
        <f>'Data Sheet'!E85</f>
        <v>6843.05</v>
      </c>
      <c r="F7" s="1">
        <f>'Data Sheet'!F85</f>
        <v>-3092</v>
      </c>
      <c r="G7" s="1">
        <f>'Data Sheet'!G85</f>
        <v>13232.21</v>
      </c>
      <c r="H7" s="1">
        <f>'Data Sheet'!H85</f>
        <v>6459</v>
      </c>
      <c r="I7" s="1">
        <f>'Data Sheet'!I85</f>
        <v>-6272.06</v>
      </c>
      <c r="J7" s="1">
        <f>'Data Sheet'!J85</f>
        <v>8128</v>
      </c>
      <c r="K7" s="1">
        <f>'Data Sheet'!K85</f>
        <v>-5666</v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25">
      <c r="A1" s="25" t="s">
        <v>56</v>
      </c>
    </row>
    <row r="3" spans="1:7" ht="15" x14ac:dyDescent="0.2">
      <c r="A3" s="8" t="s">
        <v>48</v>
      </c>
    </row>
    <row r="4" spans="1:7" x14ac:dyDescent="0.3">
      <c r="B4" s="11" t="s">
        <v>90</v>
      </c>
    </row>
    <row r="5" spans="1:7" ht="15" x14ac:dyDescent="0.2">
      <c r="B5" s="11" t="s">
        <v>49</v>
      </c>
    </row>
    <row r="7" spans="1:7" ht="15" x14ac:dyDescent="0.2">
      <c r="A7" s="8" t="s">
        <v>50</v>
      </c>
    </row>
    <row r="8" spans="1:7" ht="15" x14ac:dyDescent="0.2">
      <c r="B8" s="11" t="s">
        <v>51</v>
      </c>
      <c r="C8" s="27" t="s">
        <v>91</v>
      </c>
    </row>
    <row r="10" spans="1:7" ht="15" x14ac:dyDescent="0.2">
      <c r="A10" s="8" t="s">
        <v>52</v>
      </c>
    </row>
    <row r="11" spans="1:7" ht="15" x14ac:dyDescent="0.2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1" sqref="B1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ht="15" x14ac:dyDescent="0.2">
      <c r="A1" s="1" t="s">
        <v>0</v>
      </c>
      <c r="B1" s="1" t="s">
        <v>63</v>
      </c>
      <c r="E1" s="83" t="str">
        <f>IF(B2&lt;&gt;B3, "A NEW VERSION OF THE WORKSHEET IS AVAILABLE", "")</f>
        <v/>
      </c>
      <c r="F1" s="83"/>
      <c r="G1" s="83"/>
      <c r="H1" s="83"/>
      <c r="I1" s="83"/>
      <c r="J1" s="83"/>
      <c r="K1" s="83"/>
    </row>
    <row r="2" spans="1:11" ht="15" x14ac:dyDescent="0.2">
      <c r="A2" s="1" t="s">
        <v>61</v>
      </c>
      <c r="B2" s="5">
        <v>2.1</v>
      </c>
      <c r="E2" s="84" t="s">
        <v>36</v>
      </c>
      <c r="F2" s="84"/>
      <c r="G2" s="84"/>
      <c r="H2" s="84"/>
      <c r="I2" s="84"/>
      <c r="J2" s="84"/>
      <c r="K2" s="84"/>
    </row>
    <row r="3" spans="1:11" ht="15" x14ac:dyDescent="0.2">
      <c r="A3" s="1" t="s">
        <v>62</v>
      </c>
      <c r="B3" s="5">
        <v>2.1</v>
      </c>
    </row>
    <row r="4" spans="1:11" ht="15" x14ac:dyDescent="0.2">
      <c r="A4" s="1"/>
    </row>
    <row r="5" spans="1:11" ht="15" x14ac:dyDescent="0.2">
      <c r="A5" s="1" t="s">
        <v>64</v>
      </c>
    </row>
    <row r="6" spans="1:11" ht="15" x14ac:dyDescent="0.2">
      <c r="A6" s="5" t="s">
        <v>42</v>
      </c>
      <c r="B6" s="5">
        <f>IF(B9&gt;0, B9/B8, 0)</f>
        <v>368.14615831517796</v>
      </c>
    </row>
    <row r="7" spans="1:11" ht="15" x14ac:dyDescent="0.2">
      <c r="A7" s="5" t="s">
        <v>31</v>
      </c>
      <c r="B7">
        <v>2</v>
      </c>
    </row>
    <row r="8" spans="1:11" ht="15" x14ac:dyDescent="0.2">
      <c r="A8" s="5" t="s">
        <v>43</v>
      </c>
      <c r="B8">
        <v>688.5</v>
      </c>
    </row>
    <row r="9" spans="1:11" ht="15" x14ac:dyDescent="0.2">
      <c r="A9" s="5" t="s">
        <v>79</v>
      </c>
      <c r="B9">
        <v>253468.63</v>
      </c>
    </row>
    <row r="15" spans="1:11" ht="15" x14ac:dyDescent="0.2">
      <c r="A15" s="1" t="s">
        <v>37</v>
      </c>
    </row>
    <row r="16" spans="1:11" s="24" customFormat="1" ht="15" x14ac:dyDescent="0.2">
      <c r="A16" s="23" t="s">
        <v>38</v>
      </c>
      <c r="B16" s="16">
        <v>42460</v>
      </c>
      <c r="C16" s="16">
        <v>42825</v>
      </c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ht="15" x14ac:dyDescent="0.2">
      <c r="A17" s="9" t="s">
        <v>6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9" customFormat="1" ht="15" x14ac:dyDescent="0.2">
      <c r="A18" s="5" t="s">
        <v>80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9" customFormat="1" ht="15" x14ac:dyDescent="0.2">
      <c r="A19" s="5" t="s">
        <v>81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9" customFormat="1" x14ac:dyDescent="0.3">
      <c r="A20" s="5" t="s">
        <v>82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9" customFormat="1" x14ac:dyDescent="0.3">
      <c r="A21" s="5" t="s">
        <v>83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9" customFormat="1" x14ac:dyDescent="0.3">
      <c r="A22" s="5" t="s">
        <v>84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9" customFormat="1" x14ac:dyDescent="0.3">
      <c r="A23" s="5" t="s">
        <v>85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9" customFormat="1" x14ac:dyDescent="0.3">
      <c r="A24" s="5" t="s">
        <v>86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9" customFormat="1" x14ac:dyDescent="0.3">
      <c r="A25" s="9" t="s">
        <v>9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9" customFormat="1" x14ac:dyDescent="0.3">
      <c r="A26" s="9" t="s">
        <v>10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9" customFormat="1" x14ac:dyDescent="0.3">
      <c r="A27" s="9" t="s">
        <v>11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9" customFormat="1" x14ac:dyDescent="0.3">
      <c r="A28" s="9" t="s">
        <v>12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9" customFormat="1" x14ac:dyDescent="0.3">
      <c r="A29" s="9" t="s">
        <v>13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9" customFormat="1" x14ac:dyDescent="0.3">
      <c r="A30" s="9" t="s">
        <v>14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9" customFormat="1" x14ac:dyDescent="0.3">
      <c r="A31" s="9" t="s">
        <v>70</v>
      </c>
      <c r="B31">
        <v>67.92</v>
      </c>
      <c r="I31">
        <v>766.02</v>
      </c>
      <c r="J31">
        <v>2301</v>
      </c>
      <c r="K31">
        <v>2208</v>
      </c>
    </row>
    <row r="32" spans="1:11" s="9" customFormat="1" x14ac:dyDescent="0.3"/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44926</v>
      </c>
      <c r="C41" s="16">
        <v>45016</v>
      </c>
      <c r="D41" s="16">
        <v>45107</v>
      </c>
      <c r="E41" s="16">
        <v>45199</v>
      </c>
      <c r="F41" s="16">
        <v>45291</v>
      </c>
      <c r="G41" s="16">
        <v>45382</v>
      </c>
      <c r="H41" s="16">
        <v>45473</v>
      </c>
      <c r="I41" s="16">
        <v>45565</v>
      </c>
      <c r="J41" s="16">
        <v>45657</v>
      </c>
      <c r="K41" s="16">
        <v>45747</v>
      </c>
    </row>
    <row r="42" spans="1:11" s="9" customFormat="1" x14ac:dyDescent="0.3">
      <c r="A42" s="9" t="s">
        <v>6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9" customFormat="1" x14ac:dyDescent="0.3">
      <c r="A43" s="9" t="s">
        <v>7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9" customFormat="1" x14ac:dyDescent="0.3">
      <c r="A44" s="9" t="s">
        <v>9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9" customFormat="1" x14ac:dyDescent="0.3">
      <c r="A45" s="9" t="s">
        <v>10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9" customFormat="1" x14ac:dyDescent="0.3">
      <c r="A46" s="9" t="s">
        <v>11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9" customFormat="1" x14ac:dyDescent="0.3">
      <c r="A47" s="9" t="s">
        <v>12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9" customFormat="1" x14ac:dyDescent="0.3">
      <c r="A48" s="9" t="s">
        <v>13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9" customFormat="1" x14ac:dyDescent="0.3">
      <c r="A49" s="9" t="s">
        <v>14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">
      <c r="A50" s="9" t="s">
        <v>8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42460</v>
      </c>
      <c r="C56" s="16">
        <v>42825</v>
      </c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3">
      <c r="A57" s="9" t="s">
        <v>24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">
      <c r="A58" s="9" t="s">
        <v>25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">
      <c r="A59" s="9" t="s">
        <v>71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">
      <c r="A60" s="9" t="s">
        <v>72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">
      <c r="A61" s="1" t="s">
        <v>26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">
      <c r="A62" s="9" t="s">
        <v>27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">
      <c r="A63" s="9" t="s">
        <v>28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">
      <c r="A64" s="9" t="s">
        <v>29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">
      <c r="A65" s="9" t="s">
        <v>73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">
      <c r="A66" s="1" t="s">
        <v>26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9" customFormat="1" x14ac:dyDescent="0.3">
      <c r="A67" s="9" t="s">
        <v>78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">
      <c r="A68" s="9" t="s">
        <v>45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">
      <c r="A69" s="5" t="s">
        <v>87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">
      <c r="A70" s="5" t="s">
        <v>74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">
      <c r="A71" s="5" t="s">
        <v>75</v>
      </c>
    </row>
    <row r="72" spans="1:11" x14ac:dyDescent="0.3">
      <c r="A72" s="5" t="s">
        <v>88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">
      <c r="A74" s="9"/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42460</v>
      </c>
      <c r="C81" s="16">
        <v>42825</v>
      </c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3">
      <c r="A82" s="9" t="s">
        <v>32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9" customFormat="1" x14ac:dyDescent="0.3">
      <c r="A83" s="9" t="s">
        <v>33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9" customFormat="1" x14ac:dyDescent="0.3">
      <c r="A84" s="9" t="s">
        <v>34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">
      <c r="A85" s="9" t="s">
        <v>35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288.72000000000003</v>
      </c>
      <c r="C93" s="31">
        <v>288.73</v>
      </c>
      <c r="D93" s="31">
        <v>288.73</v>
      </c>
      <c r="E93" s="31">
        <v>288.73</v>
      </c>
      <c r="F93" s="31">
        <v>308.89999999999998</v>
      </c>
      <c r="G93" s="31">
        <v>332.03</v>
      </c>
      <c r="H93" s="31">
        <v>332.07</v>
      </c>
      <c r="I93" s="31">
        <v>332.13</v>
      </c>
      <c r="J93" s="31">
        <v>332.37</v>
      </c>
      <c r="K93" s="31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Financials</vt:lpstr>
      <vt:lpstr>Historical FS</vt:lpstr>
      <vt:lpstr>Ratio Anaysis</vt:lpstr>
      <vt:lpstr>Forecasting</vt:lpstr>
      <vt:lpstr>Data&gt;</vt:lpstr>
      <vt:lpstr>CFS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additya</cp:lastModifiedBy>
  <cp:lastPrinted>2012-12-06T18:14:13Z</cp:lastPrinted>
  <dcterms:created xsi:type="dcterms:W3CDTF">2012-08-17T09:55:37Z</dcterms:created>
  <dcterms:modified xsi:type="dcterms:W3CDTF">2025-07-21T06:08:46Z</dcterms:modified>
</cp:coreProperties>
</file>